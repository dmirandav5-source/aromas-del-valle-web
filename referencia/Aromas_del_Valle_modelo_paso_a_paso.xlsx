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aso_a_paso" sheetId="2" state="visible" r:id="rId4"/>
    <sheet name="Supuestos" sheetId="3" state="visible" r:id="rId5"/>
    <sheet name="Tasas" sheetId="4" state="visible" r:id="rId6"/>
    <sheet name="Factores" sheetId="5" state="visible" r:id="rId7"/>
    <sheet name="Costos_Margenes" sheetId="6" state="visible" r:id="rId8"/>
    <sheet name="Prestamo" sheetId="7" state="visible" r:id="rId9"/>
    <sheet name="Flujo_Pesimista" sheetId="8" state="visible" r:id="rId10"/>
    <sheet name="Flujo_Base" sheetId="9" state="visible" r:id="rId11"/>
    <sheet name="Flujo_Optimista" sheetId="10" state="visible" r:id="rId12"/>
    <sheet name="Incremental" sheetId="11" state="visible" r:id="rId13"/>
    <sheet name="Equilibrio" sheetId="12" state="visible" r:id="rId14"/>
    <sheet name="Inflacion" sheetId="13" state="visible" r:id="rId15"/>
    <sheet name="Sensibilidad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<sst xmlns="http://schemas.openxmlformats.org/spreadsheetml/2006/main" count="1045" uniqueCount="530">
  <si>
    <t xml:space="preserve">Aromas del Valle — Resumen de la evaluación económica</t>
  </si>
  <si>
    <t xml:space="preserve">Todos los valores salen de las hojas de cálculo. Para cambiar un supuesto, edita la hoja Supuestos.</t>
  </si>
  <si>
    <t xml:space="preserve">VPN a TMAR real 16 % (S/)</t>
  </si>
  <si>
    <t xml:space="preserve">Pesimista</t>
  </si>
  <si>
    <t xml:space="preserve">Base</t>
  </si>
  <si>
    <t xml:space="preserve">Optimista</t>
  </si>
  <si>
    <t xml:space="preserve">VPN esperado</t>
  </si>
  <si>
    <t xml:space="preserve">Fase 1 (maquinaria, empaque, online, B2B)</t>
  </si>
  <si>
    <t xml:space="preserve">Tienda Lima</t>
  </si>
  <si>
    <t xml:space="preserve">Tienda Arequipa</t>
  </si>
  <si>
    <t xml:space="preserve">Tiendas (Fase 2)</t>
  </si>
  <si>
    <t xml:space="preserve">Proyecto completo</t>
  </si>
  <si>
    <t xml:space="preserve">Proyecto completo — financiero (préstamo S/ 480 mil)</t>
  </si>
  <si>
    <t xml:space="preserve">Solo Fase 1 — financiero (préstamo S/ 260 mil)</t>
  </si>
  <si>
    <t xml:space="preserve">VAE = VPN (A/P, 16 %, 5) (S/ por año)</t>
  </si>
  <si>
    <t xml:space="preserve">TIR por interpolación</t>
  </si>
  <si>
    <t xml:space="preserve">TER (TIR modificada)</t>
  </si>
  <si>
    <t xml:space="preserve">Relación B/C</t>
  </si>
  <si>
    <t xml:space="preserve">Tasas</t>
  </si>
  <si>
    <t xml:space="preserve">Valor</t>
  </si>
  <si>
    <t xml:space="preserve">Costo de la deuda después de impuestos Kd(1 − T)</t>
  </si>
  <si>
    <t xml:space="preserve">Costo del patrimonio (CAPM)</t>
  </si>
  <si>
    <t xml:space="preserve">CPPC nominal</t>
  </si>
  <si>
    <t xml:space="preserve">CPPC real</t>
  </si>
  <si>
    <t xml:space="preserve">TMAR real</t>
  </si>
  <si>
    <t xml:space="preserve">TMAR inflada</t>
  </si>
  <si>
    <t xml:space="preserve">TMAR antes de impuestos</t>
  </si>
  <si>
    <t xml:space="preserve">Préstamo: A = P (A/P, i_m, 36)</t>
  </si>
  <si>
    <t xml:space="preserve">S/ 480 mil</t>
  </si>
  <si>
    <t xml:space="preserve">S/ 260 mil</t>
  </si>
  <si>
    <t xml:space="preserve">Tasa efectiva mensual</t>
  </si>
  <si>
    <t xml:space="preserve">Cuota mensual</t>
  </si>
  <si>
    <t xml:space="preserve">Cuota anual</t>
  </si>
  <si>
    <t xml:space="preserve">Intereses totales</t>
  </si>
  <si>
    <t xml:space="preserve">Punto de equilibrio Q = CF/(p − cv)</t>
  </si>
  <si>
    <t xml:space="preserve">Lima</t>
  </si>
  <si>
    <t xml:space="preserve">Arequipa</t>
  </si>
  <si>
    <t xml:space="preserve">Ventas de equilibrio contable (S/ por año)</t>
  </si>
  <si>
    <t xml:space="preserve">Ventas de equilibrio con recuperación de la inversión (S/ por año)</t>
  </si>
  <si>
    <t xml:space="preserve">Ventas maduras escenario base</t>
  </si>
  <si>
    <t xml:space="preserve">Análisis incremental (base): ΔB/C</t>
  </si>
  <si>
    <t xml:space="preserve">Ruta de la solución paso a paso (escenario base)</t>
  </si>
  <si>
    <t xml:space="preserve">Cada fila es un cálculo del documento. El resultado está vinculado a la hoja donde se calcula, así que cambia si cambias un supuesto.</t>
  </si>
  <si>
    <t xml:space="preserve">Paso</t>
  </si>
  <si>
    <t xml:space="preserve">Qué se calcula</t>
  </si>
  <si>
    <t xml:space="preserve">Fórmula del curso</t>
  </si>
  <si>
    <t xml:space="preserve">Resultado</t>
  </si>
  <si>
    <t xml:space="preserve">Hoja con el detalle</t>
  </si>
  <si>
    <t xml:space="preserve">1</t>
  </si>
  <si>
    <t xml:space="preserve">Costo unitario de producción (U)</t>
  </si>
  <si>
    <t xml:space="preserve">Suma de la tabla de costos</t>
  </si>
  <si>
    <t xml:space="preserve">Costos_Margenes</t>
  </si>
  <si>
    <t xml:space="preserve">2</t>
  </si>
  <si>
    <t xml:space="preserve">Costo anual de producción (método unitario)</t>
  </si>
  <si>
    <t xml:space="preserve">Ct = U × N</t>
  </si>
  <si>
    <t xml:space="preserve">3</t>
  </si>
  <si>
    <t xml:space="preserve">Contribución por kg en tienda</t>
  </si>
  <si>
    <t xml:space="preserve">p − cv</t>
  </si>
  <si>
    <t xml:space="preserve">Contribución por kg online</t>
  </si>
  <si>
    <t xml:space="preserve">p − (costo + flete + pasarela + marketing)</t>
  </si>
  <si>
    <t xml:space="preserve">Contribución por kg B2B</t>
  </si>
  <si>
    <t xml:space="preserve">p (1 − comisión) − costo</t>
  </si>
  <si>
    <t xml:space="preserve">4</t>
  </si>
  <si>
    <t xml:space="preserve">Volumen vendido 2025 (kg)</t>
  </si>
  <si>
    <t xml:space="preserve">Ventas del canal ÷ precio por kg</t>
  </si>
  <si>
    <t xml:space="preserve">Uso promedio de la capacidad actual</t>
  </si>
  <si>
    <t xml:space="preserve">kg vendidos ÷ (80 kg × 300 días)</t>
  </si>
  <si>
    <t xml:space="preserve">5</t>
  </si>
  <si>
    <t xml:space="preserve">Tasa efectiva mensual del préstamo</t>
  </si>
  <si>
    <t xml:space="preserve">i_m = (1 + i_a)^(1/12) − 1</t>
  </si>
  <si>
    <t xml:space="preserve">Costo de la deuda después de impuestos</t>
  </si>
  <si>
    <t xml:space="preserve">K'd = Kd (1 − T)</t>
  </si>
  <si>
    <t xml:space="preserve">Re = Rf + β (Rm − Rf)</t>
  </si>
  <si>
    <t xml:space="preserve">CPPC = Wd·Kd(1 − T) + We·Ke</t>
  </si>
  <si>
    <t xml:space="preserve">i = (if − f) / (1 + f)</t>
  </si>
  <si>
    <t xml:space="preserve">if = i + f + i·f</t>
  </si>
  <si>
    <t xml:space="preserve">TMAR / (1 − T)</t>
  </si>
  <si>
    <t xml:space="preserve">6</t>
  </si>
  <si>
    <t xml:space="preserve">Cuota mensual del préstamo de S/ 480 mil</t>
  </si>
  <si>
    <t xml:space="preserve">A = P (A/P, i_m, 36)</t>
  </si>
  <si>
    <t xml:space="preserve">Prestamo</t>
  </si>
  <si>
    <t xml:space="preserve">8</t>
  </si>
  <si>
    <t xml:space="preserve">Ventas online incrementales año 1</t>
  </si>
  <si>
    <t xml:space="preserve">V_2025 × [(1 + g)^t − 1]</t>
  </si>
  <si>
    <t xml:space="preserve">Flujo_Base</t>
  </si>
  <si>
    <t xml:space="preserve">Flujo económico Fase 1, año 5</t>
  </si>
  <si>
    <t xml:space="preserve">UODI + depreciación − inversión − ΔCT + rescate</t>
  </si>
  <si>
    <t xml:space="preserve">10</t>
  </si>
  <si>
    <t xml:space="preserve">VPN Fase 1</t>
  </si>
  <si>
    <t xml:space="preserve">VPN = Σ F_t (P/F, i, t)</t>
  </si>
  <si>
    <t xml:space="preserve">VPN tiendas</t>
  </si>
  <si>
    <t xml:space="preserve">VPN proyecto completo</t>
  </si>
  <si>
    <t xml:space="preserve">11</t>
  </si>
  <si>
    <t xml:space="preserve">VAE Fase 1</t>
  </si>
  <si>
    <t xml:space="preserve">VAE = VPN (A/P, i, n)</t>
  </si>
  <si>
    <t xml:space="preserve">TIR Fase 1 (interpolación)</t>
  </si>
  <si>
    <t xml:space="preserve">TIR = i1 + VPN1/(VPN1 − VPN2)·(i2 − i1)</t>
  </si>
  <si>
    <t xml:space="preserve">TIR proyecto completo (interpolación)</t>
  </si>
  <si>
    <t xml:space="preserve">TER Fase 1</t>
  </si>
  <si>
    <t xml:space="preserve">TER = (VF_pos / VP_neg)^(1/n) − 1</t>
  </si>
  <si>
    <t xml:space="preserve">B/C Fase 1</t>
  </si>
  <si>
    <t xml:space="preserve">B/C = VP beneficios / VP costos</t>
  </si>
  <si>
    <t xml:space="preserve">B/C proyecto completo</t>
  </si>
  <si>
    <t xml:space="preserve">Recuperación descontada Fase 1 (años)</t>
  </si>
  <si>
    <t xml:space="preserve">Año en que el VP acumulado pasa a positivo</t>
  </si>
  <si>
    <t xml:space="preserve">12</t>
  </si>
  <si>
    <t xml:space="preserve">VPN esperado Fase 1</t>
  </si>
  <si>
    <t xml:space="preserve">Σ probabilidad × VPN del escenario</t>
  </si>
  <si>
    <t xml:space="preserve">Resumen</t>
  </si>
  <si>
    <t xml:space="preserve">VPN esperado proyecto completo</t>
  </si>
  <si>
    <t xml:space="preserve">13</t>
  </si>
  <si>
    <t xml:space="preserve">ΔB/C proyecto completo vs. Fase 1</t>
  </si>
  <si>
    <t xml:space="preserve">ΔB/C = ΔB / ΔC</t>
  </si>
  <si>
    <t xml:space="preserve">Incremental</t>
  </si>
  <si>
    <t xml:space="preserve">14</t>
  </si>
  <si>
    <t xml:space="preserve">VPN financiero proyecto completo</t>
  </si>
  <si>
    <t xml:space="preserve">Flujo económico − servicio de deuda en soles constantes</t>
  </si>
  <si>
    <t xml:space="preserve">VPN financiero solo Fase 1</t>
  </si>
  <si>
    <t xml:space="preserve">VPN Fase 1 en soles corrientes a TMAR inflada</t>
  </si>
  <si>
    <t xml:space="preserve">Σ F_t (1 + f)^t / (1 + if)^t</t>
  </si>
  <si>
    <t xml:space="preserve">Inflacion</t>
  </si>
  <si>
    <t xml:space="preserve">15</t>
  </si>
  <si>
    <t xml:space="preserve">Ventas de equilibrio Lima con recuperación de inversión</t>
  </si>
  <si>
    <t xml:space="preserve">Q = (CF + A) / (p − cv) × p</t>
  </si>
  <si>
    <t xml:space="preserve">Equilibrio</t>
  </si>
  <si>
    <t xml:space="preserve">Ventas de equilibrio Arequipa con recuperación de inversión</t>
  </si>
  <si>
    <t xml:space="preserve">Kg online de equilibrio de la Fase 1</t>
  </si>
  <si>
    <t xml:space="preserve">Q = [CF + I(A/P) − S(A/F)] / (p − cv)</t>
  </si>
  <si>
    <t xml:space="preserve">16</t>
  </si>
  <si>
    <t xml:space="preserve">VP de las ventas online incrementales (gradiente)</t>
  </si>
  <si>
    <t xml:space="preserve">A1 (P/A, g, i, n) − V (P/A, i, n)</t>
  </si>
  <si>
    <t xml:space="preserve">Factores</t>
  </si>
  <si>
    <t xml:space="preserve">Aromas del Valle — Supuestos del modelo</t>
  </si>
  <si>
    <t xml:space="preserve">Texto azul = dato de entrada (editable). Fondo amarillo = supuesto propio (no viene del caso). Negro = fórmula. Montos en soles constantes de 2025 (S/).</t>
  </si>
  <si>
    <t xml:space="preserve">Concepto</t>
  </si>
  <si>
    <t xml:space="preserve">Unidad</t>
  </si>
  <si>
    <t xml:space="preserve">Fuente / comentario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</si>
  <si>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</si>
  <si>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</si>
  <si>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</si>
  <si>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</si>
  <si>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</si>
  <si>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1. Tasas y parámetros generales</t>
  </si>
  <si>
    <t xml:space="preserve">TMAR real (rendimiento mínimo exigido, en soles constantes)</t>
  </si>
  <si>
    <t xml:space="preserve">Supuesto: CPPC + prima de riesgo de una PYME con tiendas nuevas (ver hoja Tasas)</t>
  </si>
  <si>
    <t xml:space="preserve">Impuesto a la Renta (T)</t>
  </si>
  <si>
    <t xml:space="preserve">Perú, régimen general. Las pérdidas del proyecto generan escudo porque la empresa ya tiene utilidades</t>
  </si>
  <si>
    <t xml:space="preserve">Inflación anual esperada (f)</t>
  </si>
  <si>
    <t xml:space="preserve">Supuesto: centro del rango meta del BCRP (1–3 %)</t>
  </si>
  <si>
    <t xml:space="preserve">Capital de trabajo requerido (% de ventas incrementales)</t>
  </si>
  <si>
    <t xml:space="preserve">Supuesto: nunca baja del capital de trabajo inicial; se recupera en el año 5</t>
  </si>
  <si>
    <t xml:space="preserve">Horizonte de evaluación</t>
  </si>
  <si>
    <t xml:space="preserve">años</t>
  </si>
  <si>
    <t xml:space="preserve">Años 2026–2030</t>
  </si>
  <si>
    <t xml:space="preserve">2. Costo de capital (CAPM y CPPC)</t>
  </si>
  <si>
    <t xml:space="preserve">Tasa libre de riesgo Rf</t>
  </si>
  <si>
    <t xml:space="preserve">BCRP: rendimiento del bono soberano a 10 años en soles, setiembre 2026 (6.5 %)</t>
  </si>
  <si>
    <t xml:space="preserve">Beta (β) del sector</t>
  </si>
  <si>
    <t xml:space="preserve">Damodaran, Food Processing (global), datos de enero 2026</t>
  </si>
  <si>
    <t xml:space="preserve">Prima de mercado (Rm − Rf)</t>
  </si>
  <si>
    <t xml:space="preserve">Supuesto: prima de mercado madura ≈ 4.5 % + riesgo país ≈ 2 %</t>
  </si>
  <si>
    <t xml:space="preserve">Peso de la deuda (Wd)</t>
  </si>
  <si>
    <t xml:space="preserve">Supuesto: el préstamo cubre la inversión fija; los dueños aportan el capital de trabajo</t>
  </si>
  <si>
    <t xml:space="preserve">Peso del patrimonio (We)</t>
  </si>
  <si>
    <t xml:space="preserve">We = 1 − Wd</t>
  </si>
  <si>
    <t xml:space="preserve">3. Costo de producción por kg tostado (S/)</t>
  </si>
  <si>
    <t xml:space="preserve">Café verde (incluye flete interno)</t>
  </si>
  <si>
    <t xml:space="preserve">S/ por kg</t>
  </si>
  <si>
    <t xml:space="preserve">Caso: tabla de costos por kg tostado (2025)</t>
  </si>
  <si>
    <t xml:space="preserve">Merma de tostado (15–16 %)</t>
  </si>
  <si>
    <t xml:space="preserve">Mano de obra directa de tostado</t>
  </si>
  <si>
    <t xml:space="preserve">Energía y gas</t>
  </si>
  <si>
    <t xml:space="preserve">Empaque (bolsa + válvula + etiqueta)</t>
  </si>
  <si>
    <t xml:space="preserve">Control de calidad y laboratorio</t>
  </si>
  <si>
    <t xml:space="preserve">Costos indirectos de producción</t>
  </si>
  <si>
    <t xml:space="preserve">Costo unitario total (U)</t>
  </si>
  <si>
    <t xml:space="preserve">Suma de la tabla = 49.50</t>
  </si>
  <si>
    <t xml:space="preserve">4. Precios y costos por canal</t>
  </si>
  <si>
    <t xml:space="preserve">Precio tienda por kg (250 g a S/ 42–48)</t>
  </si>
  <si>
    <t xml:space="preserve">Caso: S/ 168–192 por kg (punto medio)</t>
  </si>
  <si>
    <t xml:space="preserve">Precio online por kg (500 g a S/ 78–88)</t>
  </si>
  <si>
    <t xml:space="preserve">Caso: punto medio S/ 83 por 500 g</t>
  </si>
  <si>
    <t xml:space="preserve">Flete online por kg</t>
  </si>
  <si>
    <t xml:space="preserve">Caso: S/ 14 por 500 g</t>
  </si>
  <si>
    <t xml:space="preserve">Comisión pasarela de pago / WhatsApp Business</t>
  </si>
  <si>
    <t xml:space="preserve">Caso: 2.5–3.5 % (punto medio)</t>
  </si>
  <si>
    <t xml:space="preserve">Marketing online por kg</t>
  </si>
  <si>
    <t xml:space="preserve">Caso</t>
  </si>
  <si>
    <t xml:space="preserve">Precio mayorista a cafeterías por kg</t>
  </si>
  <si>
    <t xml:space="preserve">Caso: punto medio de S/ 95–110</t>
  </si>
  <si>
    <t xml:space="preserve">Comisión a cafeterías y hoteles</t>
  </si>
  <si>
    <t xml:space="preserve">Caso: punto medio de 15–25 % del precio de lista</t>
  </si>
  <si>
    <t xml:space="preserve">5. Situación actual (2025)</t>
  </si>
  <si>
    <t xml:space="preserve">Facturación 2025</t>
  </si>
  <si>
    <t xml:space="preserve">Caso: ≈ S/ 1.85 millones</t>
  </si>
  <si>
    <t xml:space="preserve">Participación tienda física</t>
  </si>
  <si>
    <t xml:space="preserve">Participación online</t>
  </si>
  <si>
    <t xml:space="preserve">Participación cafeterías y hoteles (B2B)</t>
  </si>
  <si>
    <t xml:space="preserve">Ventas tienda Cusco</t>
  </si>
  <si>
    <t xml:space="preserve">Facturación × participación</t>
  </si>
  <si>
    <t xml:space="preserve">Ventas online</t>
  </si>
  <si>
    <t xml:space="preserve">Ventas B2B</t>
  </si>
  <si>
    <t xml:space="preserve">% de ventas de tienda que es café</t>
  </si>
  <si>
    <t xml:space="preserve">Supuesto</t>
  </si>
  <si>
    <t xml:space="preserve">Capacidad actual de tueste</t>
  </si>
  <si>
    <t xml:space="preserve">kg/día</t>
  </si>
  <si>
    <t xml:space="preserve">Capacidad con máquina nueva</t>
  </si>
  <si>
    <t xml:space="preserve">Días de operación al año</t>
  </si>
  <si>
    <t xml:space="preserve">días</t>
  </si>
  <si>
    <t xml:space="preserve">Supuesto: 6 días por semana</t>
  </si>
  <si>
    <t xml:space="preserve">6. Fase 1: maquinaria, empaque, online y B2B</t>
  </si>
  <si>
    <t xml:space="preserve">Maquinaria de tostado (250 kg/día) y equipo de empaque</t>
  </si>
  <si>
    <t xml:space="preserve">Supuesto: desglose propio de los S/ 480 mil del caso</t>
  </si>
  <si>
    <t xml:space="preserve">Plataforma online, CRM y marketing inicial</t>
  </si>
  <si>
    <t xml:space="preserve">Supuesto: desglose propio; se amortiza en 5 años</t>
  </si>
  <si>
    <t xml:space="preserve">Capital de trabajo inicial Fase 1</t>
  </si>
  <si>
    <t xml:space="preserve">Supuesto: el caso incluye el capital de trabajo dentro de los S/ 480 mil</t>
  </si>
  <si>
    <t xml:space="preserve">Depreciación maquinaria (línea recta)</t>
  </si>
  <si>
    <t xml:space="preserve">Tasa tributaria referencial 10 % anual</t>
  </si>
  <si>
    <t xml:space="preserve">Amortización plataforma y desarrollo</t>
  </si>
  <si>
    <t xml:space="preserve">Supuesto: 5 años</t>
  </si>
  <si>
    <t xml:space="preserve">Costos fijos incrementales Fase 1 (anual)</t>
  </si>
  <si>
    <t xml:space="preserve">Supuesto: ejecutivo B2B + operación online + mantenimiento</t>
  </si>
  <si>
    <t xml:space="preserve">Ahorro por reducir merma 1 punto</t>
  </si>
  <si>
    <t xml:space="preserve">S/ 28.50 × (1/0.84 − 1/0.85) ÷ (1/0.84)</t>
  </si>
  <si>
    <t xml:space="preserve">Ahorro por empaque local</t>
  </si>
  <si>
    <t xml:space="preserve">Caso: de S/ 4.90 a S/ 3.80–4.20 (punto medio)</t>
  </si>
  <si>
    <t xml:space="preserve">7. Fase 2: tiendas Lima y Arequipa</t>
  </si>
  <si>
    <t xml:space="preserve">Acondicionamiento tienda Lima</t>
  </si>
  <si>
    <t xml:space="preserve">Supuesto: desglose propio de los S/ 480 mil</t>
  </si>
  <si>
    <t xml:space="preserve">Acondicionamiento tienda Arequipa</t>
  </si>
  <si>
    <t xml:space="preserve">Capital de trabajo inicial Lima (inventario)</t>
  </si>
  <si>
    <t xml:space="preserve">Capital de trabajo inicial Arequipa (inventario)</t>
  </si>
  <si>
    <t xml:space="preserve">Inversión total del proyecto (comprobación)</t>
  </si>
  <si>
    <t xml:space="preserve">Debe sumar S/ 480,000, como dice el caso</t>
  </si>
  <si>
    <t xml:space="preserve">Depreciación implementación de tiendas</t>
  </si>
  <si>
    <t xml:space="preserve">Supuesto: 5 años, sin valor de rescate</t>
  </si>
  <si>
    <t xml:space="preserve">Margen de contribución tiendas nuevas</t>
  </si>
  <si>
    <t xml:space="preserve">Supuesto: 72.5 % del producto menos ≈ 10 puntos de costos variables de tienda</t>
  </si>
  <si>
    <t xml:space="preserve">Costos fijos anuales Lima</t>
  </si>
  <si>
    <t xml:space="preserve">Supuesto: S/ 18,000 al mes</t>
  </si>
  <si>
    <t xml:space="preserve">Costos fijos anuales Arequipa</t>
  </si>
  <si>
    <t xml:space="preserve">Supuesto: S/ 11,000 al mes</t>
  </si>
  <si>
    <t xml:space="preserve">Maduración de ventas de tiendas (año 1 a 5)</t>
  </si>
  <si>
    <t xml:space="preserve">Supuesto: 50 % / 75 % / 100 % →</t>
  </si>
  <si>
    <t xml:space="preserve">8. Préstamo</t>
  </si>
  <si>
    <t xml:space="preserve">Monto del préstamo (proyecto completo)</t>
  </si>
  <si>
    <t xml:space="preserve">Supuesto: se financia toda la inversión con el préstamo del caso</t>
  </si>
  <si>
    <t xml:space="preserve">Monto alternativo (solo Fase 1)</t>
  </si>
  <si>
    <t xml:space="preserve">Propuesta: financiar solo la Fase 1</t>
  </si>
  <si>
    <t xml:space="preserve">Tasa efectiva anual del préstamo (Kd)</t>
  </si>
  <si>
    <t xml:space="preserve">Caso: 14.5 % TEA</t>
  </si>
  <si>
    <t xml:space="preserve">Plazo</t>
  </si>
  <si>
    <t xml:space="preserve">meses</t>
  </si>
  <si>
    <t xml:space="preserve">9. Escenarios de demanda</t>
  </si>
  <si>
    <t xml:space="preserve">Variable</t>
  </si>
  <si>
    <t xml:space="preserve">Crecimiento online anual (g)</t>
  </si>
  <si>
    <t xml:space="preserve">Ventas B2B adicionales al año 3 (sobre 2025)</t>
  </si>
  <si>
    <t xml:space="preserve">Ventas tienda Lima madura (anual)</t>
  </si>
  <si>
    <t xml:space="preserve">Ventas tienda Arequipa madura (anual)</t>
  </si>
  <si>
    <t xml:space="preserve">Probabilidad del escenario</t>
  </si>
  <si>
    <t xml:space="preserve">Probabilidades: supuesto propio para el VPN esperado. El B2B crece linealmente hasta el año 3.</t>
  </si>
  <si>
    <t xml:space="preserve">Tasas: préstamo, costo de capital, TMAR e inflación</t>
  </si>
  <si>
    <t xml:space="preserve">Fórmulas del curso. Todas las celdas negras se recalculan desde la hoja Supuestos.</t>
  </si>
  <si>
    <t xml:space="preserve">Fórmula</t>
  </si>
  <si>
    <t xml:space="preserve">Lectura</t>
  </si>
  <si>
    <t xml:space="preserve">Convierte la TEA de 14.5 % en tasa mensual</t>
  </si>
  <si>
    <t xml:space="preserve">El interés es deducible: la deuda cuesta menos de lo que dice su tasa</t>
  </si>
  <si>
    <t xml:space="preserve">Rendimiento mínimo de una empresa cotizada del sector</t>
  </si>
  <si>
    <t xml:space="preserve">CPPC (WACC), nominal</t>
  </si>
  <si>
    <t xml:space="preserve">Costo promedio de las fuentes de financiamiento</t>
  </si>
  <si>
    <t xml:space="preserve">CPPC en términos reales</t>
  </si>
  <si>
    <t xml:space="preserve">Se despeja la tasa real de if = i + f + i·f</t>
  </si>
  <si>
    <t xml:space="preserve">TMAR real usada en el modelo</t>
  </si>
  <si>
    <t xml:space="preserve">Debe ser ≥ CPPC real; la diferencia es la prima por riesgo del proyecto</t>
  </si>
  <si>
    <t xml:space="preserve">Prima de riesgo implícita</t>
  </si>
  <si>
    <t xml:space="preserve">TMAR − CPPC real</t>
  </si>
  <si>
    <t xml:space="preserve">Riesgo de PYME, tiendas nuevas y menor liquidez</t>
  </si>
  <si>
    <t xml:space="preserve">TMAR inflada (a valor de mercado)</t>
  </si>
  <si>
    <t xml:space="preserve">Para descontar flujos en soles corrientes</t>
  </si>
  <si>
    <t xml:space="preserve">TMAR antes = TMAR después / (1 − T)</t>
  </si>
  <si>
    <t xml:space="preserve">Para descontar flujos antes de impuestos</t>
  </si>
  <si>
    <t xml:space="preserve">Costo real del préstamo (tasa i_b para la TER)</t>
  </si>
  <si>
    <t xml:space="preserve">i = (Kd − f) / (1 + f)</t>
  </si>
  <si>
    <t xml:space="preserve">Tasa a la que se financian los flujos negativos</t>
  </si>
  <si>
    <t xml:space="preserve">Verificación TMAR ≥ CPPC real</t>
  </si>
  <si>
    <t xml:space="preserve">Nota: el CAPM usa la beta de empresas cotizadas; una PYME familiar con tiendas nuevas tiene más riesgo, por eso la TMAR (16 %) supera al CPPC.</t>
  </si>
  <si>
    <t xml:space="preserve">No se usa el costo de capital por dividendos (Re = D1/P + g) porque la empresa no cotiza ni reparte dividendos regulares.</t>
  </si>
  <si>
    <t xml:space="preserve">Factores de interés compuesto a la TMAR real</t>
  </si>
  <si>
    <t xml:space="preserve">Fórmulas del curso: (P/F), (F/P), (P/A), (A/P), (A/F), (F/A) y gradiente geométrico (P/A, g, i, n).</t>
  </si>
  <si>
    <t xml:space="preserve">t (años)</t>
  </si>
  <si>
    <t xml:space="preserve">(P/F, i, t) = 1/(1+i)^t</t>
  </si>
  <si>
    <t xml:space="preserve">(F/P, i, t) = (1+i)^t</t>
  </si>
  <si>
    <t xml:space="preserve">Factor de serie uniforme (n = 5)</t>
  </si>
  <si>
    <t xml:space="preserve">(P/A, i, n)</t>
  </si>
  <si>
    <t xml:space="preserve">[(1+i)^n − 1] / [i(1+i)^n]</t>
  </si>
  <si>
    <t xml:space="preserve">(A/P, i, n)</t>
  </si>
  <si>
    <t xml:space="preserve">i(1+i)^n / [(1+i)^n − 1]</t>
  </si>
  <si>
    <t xml:space="preserve">(A/F, i, n)</t>
  </si>
  <si>
    <t xml:space="preserve">i / [(1+i)^n − 1]</t>
  </si>
  <si>
    <t xml:space="preserve">(F/A, i, n)</t>
  </si>
  <si>
    <t xml:space="preserve">[(1+i)^n − 1] / i</t>
  </si>
  <si>
    <t xml:space="preserve">(A/P, i_m, 36) del préstamo</t>
  </si>
  <si>
    <t xml:space="preserve">i_m(1+i_m)^n / [(1+i_m)^n − 1]</t>
  </si>
  <si>
    <t xml:space="preserve">i = TMAR real; n = horizonte (5 años). Ejemplo: 260,000 (A/P, 16 %, 5) = costo anual equivalente de la inversión de la Fase 1.</t>
  </si>
  <si>
    <t xml:space="preserve">Gradiente geométrico: ventas online (escenario base)</t>
  </si>
  <si>
    <t xml:space="preserve">Ventas online del año 1 (A1)</t>
  </si>
  <si>
    <t xml:space="preserve">A1 = ventas 2025 × (1 + g)</t>
  </si>
  <si>
    <t xml:space="preserve">(P/A, g, i, n)</t>
  </si>
  <si>
    <t xml:space="preserve">[1 − ((1+g)/(1+i))^n] / (i − g)</t>
  </si>
  <si>
    <t xml:space="preserve">VP de las ventas online totales</t>
  </si>
  <si>
    <t xml:space="preserve">A1 × (P/A, g, i, n)</t>
  </si>
  <si>
    <t xml:space="preserve">VP de las ventas online sin proyecto</t>
  </si>
  <si>
    <t xml:space="preserve">Ventas 2025 × (P/A, i, n)</t>
  </si>
  <si>
    <t xml:space="preserve">VP de las ventas online incrementales</t>
  </si>
  <si>
    <t xml:space="preserve">VP total − VP sin proyecto</t>
  </si>
  <si>
    <t xml:space="preserve">Mismo valor calculado año por año en el flujo</t>
  </si>
  <si>
    <t xml:space="preserve">Σ ventas_t × (P/F, i, t)</t>
  </si>
  <si>
    <t xml:space="preserve">Diferencia (comprobación)</t>
  </si>
  <si>
    <t xml:space="preserve">Debe ser 0</t>
  </si>
  <si>
    <t xml:space="preserve">Costo por kg, margen por canal, volumen y método unitario</t>
  </si>
  <si>
    <t xml:space="preserve">Rubro</t>
  </si>
  <si>
    <t xml:space="preserve">% calculado</t>
  </si>
  <si>
    <t xml:space="preserve">% que dice el caso</t>
  </si>
  <si>
    <t xml:space="preserve">Costo total</t>
  </si>
  <si>
    <t xml:space="preserve">Café verde + merma (% del costo)</t>
  </si>
  <si>
    <t xml:space="preserve">Los porcentajes del caso suman 90.4 %, no 100 %: no cuadran con los soles. El modelo usa los soles por kg, que sí suman S/ 49.50.</t>
  </si>
  <si>
    <t xml:space="preserve">Canal</t>
  </si>
  <si>
    <t xml:space="preserve">Precio p (S/ por kg)</t>
  </si>
  <si>
    <t xml:space="preserve">Costo prod.</t>
  </si>
  <si>
    <t xml:space="preserve">Flete</t>
  </si>
  <si>
    <t xml:space="preserve">Pasarela</t>
  </si>
  <si>
    <t xml:space="preserve">Marketing</t>
  </si>
  <si>
    <t xml:space="preserve">Comisión B2B</t>
  </si>
  <si>
    <t xml:space="preserve">Costo variable cv</t>
  </si>
  <si>
    <t xml:space="preserve">Contribución p − cv</t>
  </si>
  <si>
    <t xml:space="preserve">Margen %</t>
  </si>
  <si>
    <t xml:space="preserve">Tienda Cusco</t>
  </si>
  <si>
    <t xml:space="preserve">Online</t>
  </si>
  <si>
    <t xml:space="preserve">B2B</t>
  </si>
  <si>
    <t xml:space="preserve">Tienda: margen antes de alquiler y personal. El 42 % del caso incluye esos costos fijos no detallados.</t>
  </si>
  <si>
    <t xml:space="preserve">Ventas 2025 (S/)</t>
  </si>
  <si>
    <t xml:space="preserve">Precio por kg</t>
  </si>
  <si>
    <t xml:space="preserve">Kg por año</t>
  </si>
  <si>
    <t xml:space="preserve">Tienda Cusco (solo café)</t>
  </si>
  <si>
    <t xml:space="preserve">Total</t>
  </si>
  <si>
    <t xml:space="preserve">Capacidad actual (kg/año)</t>
  </si>
  <si>
    <t xml:space="preserve">Capacidad con máquina nueva (kg/año)</t>
  </si>
  <si>
    <t xml:space="preserve">Capacidad nueva ÷ volumen actual</t>
  </si>
  <si>
    <t xml:space="preserve">Método unitario: Ct = U × N</t>
  </si>
  <si>
    <t xml:space="preserve">U (S/ por kg)</t>
  </si>
  <si>
    <t xml:space="preserve">N (kg por año)</t>
  </si>
  <si>
    <t xml:space="preserve">Ct (S/ por año)</t>
  </si>
  <si>
    <t xml:space="preserve">Ct − 20 %</t>
  </si>
  <si>
    <t xml:space="preserve">Ct + 20 %</t>
  </si>
  <si>
    <t xml:space="preserve">Costo de producción actual (2025)</t>
  </si>
  <si>
    <t xml:space="preserve">Costo de producción año 5, escenario base</t>
  </si>
  <si>
    <t xml:space="preserve">Precisión de ±20 %, aceptable en una estimación preliminar (como en el ejemplo de las tuberías).</t>
  </si>
  <si>
    <t xml:space="preserve">Préstamo: cuota constante A = P (A/P, i_m, n)</t>
  </si>
  <si>
    <t xml:space="preserve">i_m = (1 + 0.145)^(1/12) − 1 ; n = 36 meses. El interés de cada mes = saldo × i_m.</t>
  </si>
  <si>
    <t xml:space="preserve">Préstamo S/ 480 mil (proyecto completo)</t>
  </si>
  <si>
    <t xml:space="preserve">Préstamo S/ 260 mil (solo Fase 1)</t>
  </si>
  <si>
    <t xml:space="preserve">Mes</t>
  </si>
  <si>
    <t xml:space="preserve">Año</t>
  </si>
  <si>
    <t xml:space="preserve">Saldo inicial</t>
  </si>
  <si>
    <t xml:space="preserve">Interés</t>
  </si>
  <si>
    <t xml:space="preserve">Amortización</t>
  </si>
  <si>
    <t xml:space="preserve">Cuota</t>
  </si>
  <si>
    <t xml:space="preserve">Saldo final</t>
  </si>
  <si>
    <t xml:space="preserve">Resumen anual</t>
  </si>
  <si>
    <t xml:space="preserve">Flujo de caja incremental — escenario Pesimista</t>
  </si>
  <si>
    <t xml:space="preserve">Soles constantes de 2025, después de impuestos. VPN = Σ F_t × (P/F, TMAR, t).</t>
  </si>
  <si>
    <t xml:space="preserve">Auxiliar: VPN a distintas tasas (para interpolar la TIR)</t>
  </si>
  <si>
    <t xml:space="preserve">Auxiliar: flujo descontado acumulado y año de recuperación</t>
  </si>
  <si>
    <t xml:space="preserve">Año 0</t>
  </si>
  <si>
    <t xml:space="preserve">Periodo t</t>
  </si>
  <si>
    <t xml:space="preserve">Fase 1</t>
  </si>
  <si>
    <t xml:space="preserve">Factor (P/F, TMAR, t)</t>
  </si>
  <si>
    <t xml:space="preserve">Factor (P/F, TMAR antes de impuestos, t)</t>
  </si>
  <si>
    <t xml:space="preserve">Fase 1 · Ventas online incrementales</t>
  </si>
  <si>
    <t xml:space="preserve">Fase 1 · Kg vendidos totales (actual + incremental)</t>
  </si>
  <si>
    <t xml:space="preserve">Proyecto completo — económico</t>
  </si>
  <si>
    <t xml:space="preserve">Fase 1 · Ventas B2B incrementales</t>
  </si>
  <si>
    <t xml:space="preserve">Proyecto completo — financiero</t>
  </si>
  <si>
    <t xml:space="preserve">Contribución online</t>
  </si>
  <si>
    <t xml:space="preserve">Solo Fase 1 — financiero</t>
  </si>
  <si>
    <t xml:space="preserve">Contribución B2B</t>
  </si>
  <si>
    <t xml:space="preserve">Fase 1 — antes de impuestos (a TMAR antes de imp.)</t>
  </si>
  <si>
    <t xml:space="preserve">Ahorros en costo (merma y empaque)</t>
  </si>
  <si>
    <t xml:space="preserve">Proyecto completo — antes de impuestos (a TMAR antes de imp.)</t>
  </si>
  <si>
    <t xml:space="preserve">(−) Costos fijos incrementales</t>
  </si>
  <si>
    <t xml:space="preserve">EBITDA</t>
  </si>
  <si>
    <t xml:space="preserve">(−) Depreciación y amortización</t>
  </si>
  <si>
    <t xml:space="preserve">Utilidad operativa (EBIT)</t>
  </si>
  <si>
    <t xml:space="preserve">(−) Impuesto a la Renta (T × EBIT)</t>
  </si>
  <si>
    <t xml:space="preserve">Utilidad operativa después de impuestos</t>
  </si>
  <si>
    <t xml:space="preserve">(+) Depreciación</t>
  </si>
  <si>
    <t xml:space="preserve">(−) Inversión fija y diferida</t>
  </si>
  <si>
    <t xml:space="preserve">Capital de trabajo requerido = MAX(inicial; 10 % de ventas)</t>
  </si>
  <si>
    <t xml:space="preserve">(−) Inversión en capital de trabajo (variación)</t>
  </si>
  <si>
    <t xml:space="preserve">(+) Recuperación capital de trabajo</t>
  </si>
  <si>
    <t xml:space="preserve">(+) Valor de rescate maquinaria (S) = valor en libros</t>
  </si>
  <si>
    <t xml:space="preserve">FLUJO ECONÓMICO FASE 1</t>
  </si>
  <si>
    <t xml:space="preserve">Flujo Fase 1 antes de impuestos</t>
  </si>
  <si>
    <t xml:space="preserve">Fase 2 · tienda Lima</t>
  </si>
  <si>
    <t xml:space="preserve">Ventas tienda Lima</t>
  </si>
  <si>
    <t xml:space="preserve">Contribución</t>
  </si>
  <si>
    <t xml:space="preserve">(−) Costos fijos (alquiler, personal)</t>
  </si>
  <si>
    <t xml:space="preserve">(−) Depreciación</t>
  </si>
  <si>
    <t xml:space="preserve">(−) Inversión en acondicionamiento</t>
  </si>
  <si>
    <t xml:space="preserve">FLUJO ECONÓMICO TIENDA LIMA</t>
  </si>
  <si>
    <t xml:space="preserve">Fase 2 · tienda Arequipa</t>
  </si>
  <si>
    <t xml:space="preserve">Ventas tienda Arequipa</t>
  </si>
  <si>
    <t xml:space="preserve">FLUJO ECONÓMICO TIENDA AREQUIPA</t>
  </si>
  <si>
    <t xml:space="preserve">Consolidado</t>
  </si>
  <si>
    <t xml:space="preserve">Flujo económico tiendas (Lima + Arequipa)</t>
  </si>
  <si>
    <t xml:space="preserve">FLUJO ECONÓMICO PROYECTO COMPLETO</t>
  </si>
  <si>
    <t xml:space="preserve">Flujo proyecto completo antes de impuestos</t>
  </si>
  <si>
    <t xml:space="preserve">Flujo financiero (con préstamo). Las cuotas son nominales: se pasan a soles constantes con ÷ (1 + f)^t</t>
  </si>
  <si>
    <t xml:space="preserve">Factor de deflación 1 / (1 + f)^t</t>
  </si>
  <si>
    <t xml:space="preserve">(+) Préstamo — proyecto completo (S/ 480 mil)</t>
  </si>
  <si>
    <t xml:space="preserve">(−) Cuotas pagadas (soles corrientes)</t>
  </si>
  <si>
    <t xml:space="preserve">(+) Escudo fiscal de intereses = interés × T</t>
  </si>
  <si>
    <t xml:space="preserve">Servicio de deuda neto en soles constantes</t>
  </si>
  <si>
    <t xml:space="preserve">FLUJO FINANCIERO — proyecto completo (S/ 480 mil)</t>
  </si>
  <si>
    <t xml:space="preserve">(+) Préstamo — solo Fase 1 (S/ 260 mil)</t>
  </si>
  <si>
    <t xml:space="preserve">FLUJO FINANCIERO — solo Fase 1 (S/ 260 mil)</t>
  </si>
  <si>
    <t xml:space="preserve">Indicadores</t>
  </si>
  <si>
    <t xml:space="preserve">Flujo</t>
  </si>
  <si>
    <t xml:space="preserve">VPN = Σ F_t (P/F)</t>
  </si>
  <si>
    <t xml:space="preserve">VAE = VPN (A/P, i, 5)</t>
  </si>
  <si>
    <t xml:space="preserve">VP beneficios</t>
  </si>
  <si>
    <t xml:space="preserve">VP costos</t>
  </si>
  <si>
    <t xml:space="preserve">B/C</t>
  </si>
  <si>
    <t xml:space="preserve">Recuperación descontada (años)</t>
  </si>
  <si>
    <t xml:space="preserve">i1</t>
  </si>
  <si>
    <t xml:space="preserve">VPN1</t>
  </si>
  <si>
    <t xml:space="preserve">i2</t>
  </si>
  <si>
    <t xml:space="preserve">VPN2</t>
  </si>
  <si>
    <t xml:space="preserve">TIR exacta (Excel, comparación)</t>
  </si>
  <si>
    <t xml:space="preserve">Se interpola entre las dos tasas de la tabla auxiliar (pasos de 5 %) donde el VPN cambia de signo. "No existe": todos los flujos tienen el mismo signo.</t>
  </si>
  <si>
    <t xml:space="preserve">VP flujos negativos a i_b</t>
  </si>
  <si>
    <t xml:space="preserve">VF flujos positivos a TMAR</t>
  </si>
  <si>
    <t xml:space="preserve">TER = (VF/VP)^(1/n) − 1</t>
  </si>
  <si>
    <t xml:space="preserve">i_b = costo real del préstamo (hoja Tasas); los flujos positivos se reinvierten a la TMAR.</t>
  </si>
  <si>
    <t xml:space="preserve">Flujo de caja incremental — escenario Base</t>
  </si>
  <si>
    <t xml:space="preserve">Flujo de caja incremental — escenario Optimista</t>
  </si>
  <si>
    <t xml:space="preserve">Análisis incremental: proyecto completo (retadora) vs. solo Fase 1 (defensora)</t>
  </si>
  <si>
    <t xml:space="preserve">ΔF = F retadora − F defensora. Si ΔB/C ≥ 1 se elige la retadora; si ΔB/C &lt; 1, la defensora.</t>
  </si>
  <si>
    <t xml:space="preserve">Escenario base</t>
  </si>
  <si>
    <t xml:space="preserve">F retadora: proyecto completo</t>
  </si>
  <si>
    <t xml:space="preserve">F defensora: solo Fase 1</t>
  </si>
  <si>
    <t xml:space="preserve">ΔF = retadora − defensora</t>
  </si>
  <si>
    <t xml:space="preserve">Indicador incremental</t>
  </si>
  <si>
    <t xml:space="preserve">ΔVPN = VPN retadora − VPN defensora</t>
  </si>
  <si>
    <t xml:space="preserve">ΔB = VP beneficios retadora − defensora</t>
  </si>
  <si>
    <t xml:space="preserve">ΔC = VP costos retadora − defensora</t>
  </si>
  <si>
    <t xml:space="preserve">Decisión</t>
  </si>
  <si>
    <t xml:space="preserve">TIR del flujo incremental (escenario base)</t>
  </si>
  <si>
    <t xml:space="preserve">Lectura: el flujo incremental es exactamente el de las tiendas. Si su TIR es menor que la TMAR, agregar las tiendas destruye valor.</t>
  </si>
  <si>
    <t xml:space="preserve">Punto de equilibrio: Q = CF / (p − cv)</t>
  </si>
  <si>
    <t xml:space="preserve">Primero el equilibrio contable; después se suma el costo anual equivalente de la inversión: I (A/P, i, n) − S (A/F, i, n).</t>
  </si>
  <si>
    <t xml:space="preserve">Tiendas nuevas</t>
  </si>
  <si>
    <t xml:space="preserve">Comentario</t>
  </si>
  <si>
    <t xml:space="preserve">Mismo precio que en Cusco</t>
  </si>
  <si>
    <t xml:space="preserve">Costo variable cv = p × (1 − margen de contribución)</t>
  </si>
  <si>
    <t xml:space="preserve">Margen de contribución supuesto de 62 %</t>
  </si>
  <si>
    <t xml:space="preserve">Contribución unitaria p − cv</t>
  </si>
  <si>
    <t xml:space="preserve">Costos fijos anuales CF</t>
  </si>
  <si>
    <t xml:space="preserve">Q contable = CF / (p − cv)  (kg por año)</t>
  </si>
  <si>
    <t xml:space="preserve">Inversión I (acondicionamiento + capital de trabajo)</t>
  </si>
  <si>
    <t xml:space="preserve">Valor de rescate S = capital de trabajo recuperado</t>
  </si>
  <si>
    <t xml:space="preserve">Costo anual equivalente A = I (A/P, i, 5) − S (A/F, i, 5)</t>
  </si>
  <si>
    <t xml:space="preserve">S = capital de trabajo inicial que se recupera en el año 5</t>
  </si>
  <si>
    <t xml:space="preserve">Q con recuperación de inversión = (CF + A) / (p − cv)</t>
  </si>
  <si>
    <t xml:space="preserve">kg por año</t>
  </si>
  <si>
    <t xml:space="preserve">Ventas de equilibrio con recuperación (S/ por año)</t>
  </si>
  <si>
    <t xml:space="preserve">Ventas maduras supuestas, escenario base</t>
  </si>
  <si>
    <t xml:space="preserve">Holgura sobre el equilibrio con recuperación</t>
  </si>
  <si>
    <t xml:space="preserve">Positivo = el escenario base lo supera</t>
  </si>
  <si>
    <t xml:space="preserve">Equilibrio con maduración, impuestos y capital de trabajo (VPN = 0)</t>
  </si>
  <si>
    <t xml:space="preserve">Búsqueda de objetivo sobre el modelo completo; no se recalcula sola</t>
  </si>
  <si>
    <t xml:space="preserve">Fase 1 (online)</t>
  </si>
  <si>
    <t xml:space="preserve">Costos fijos incrementales CF</t>
  </si>
  <si>
    <t xml:space="preserve">Inversión I (incluye capital de trabajo inicial)</t>
  </si>
  <si>
    <t xml:space="preserve">Valor de rescate S (maquinaria + capital de trabajo inicial)</t>
  </si>
  <si>
    <t xml:space="preserve">Valor en libros de la maquinaria al año 5 + capital de trabajo recuperado</t>
  </si>
  <si>
    <t xml:space="preserve">Costo anual equivalente = CF + I (A/P, i, 5) − S (A/F, i, 5)</t>
  </si>
  <si>
    <t xml:space="preserve">Mismo método que el ejemplo de la excavadora</t>
  </si>
  <si>
    <t xml:space="preserve">Contribución por kg online (p − cv)</t>
  </si>
  <si>
    <t xml:space="preserve">Q = costo anual equivalente / (p − cv)  (kg online incrementales por año)</t>
  </si>
  <si>
    <t xml:space="preserve">Sin contar el aporte del B2B ni los ahorros (conservador)</t>
  </si>
  <si>
    <t xml:space="preserve">Kg online incrementales, base año 1</t>
  </si>
  <si>
    <t xml:space="preserve">Kg online incrementales, base año 3</t>
  </si>
  <si>
    <t xml:space="preserve">Kg online incrementales, base año 5</t>
  </si>
  <si>
    <t xml:space="preserve">Inflación: soles constantes vs. soles corrientes (Fase 1, escenario base)</t>
  </si>
  <si>
    <t xml:space="preserve">Mismo procedimiento que el ejemplo de los apuntes: el VP es igual si se usan flujos constantes con la tasa real o flujos inflados con la tasa inflada.</t>
  </si>
  <si>
    <t xml:space="preserve">TMAR real (i)</t>
  </si>
  <si>
    <t xml:space="preserve">Inflación (f)</t>
  </si>
  <si>
    <t xml:space="preserve">TMAR inflada if = i + f + i·f</t>
  </si>
  <si>
    <t xml:space="preserve">Flujo en soles constantes</t>
  </si>
  <si>
    <t xml:space="preserve">(1 + f)^t</t>
  </si>
  <si>
    <t xml:space="preserve">Flujo en soles corrientes</t>
  </si>
  <si>
    <t xml:space="preserve">VP constante a i real</t>
  </si>
  <si>
    <t xml:space="preserve">VP corriente a if</t>
  </si>
  <si>
    <t xml:space="preserve">VPN</t>
  </si>
  <si>
    <t xml:space="preserve">Diferencia (debe ser 0)</t>
  </si>
  <si>
    <t xml:space="preserve">Cuota anual del préstamo S/ 480 mil (soles corrientes)</t>
  </si>
  <si>
    <t xml:space="preserve">Cuota en soles constantes = cuota / (1 + f)^t</t>
  </si>
  <si>
    <t xml:space="preserve">Pérdida de valor real de la cuota</t>
  </si>
  <si>
    <t xml:space="preserve">La cuota es fija en soles corrientes: con inflación pesa menos cada año en términos reales. Por eso el flujo financiero convierte las cuotas a soles constantes antes de descontar a la TMAR real.</t>
  </si>
  <si>
    <t xml:space="preserve">Análisis de sensibilidad — escenario base (cada supuesto ±20 %)</t>
  </si>
  <si>
    <t xml:space="preserve">Valores obtenidos moviendo un supuesto a la vez y recalculando el modelo completo (no se actualizan solos).</t>
  </si>
  <si>
    <t xml:space="preserve">VPN total con −20 %</t>
  </si>
  <si>
    <t xml:space="preserve">VPN total con +20 %</t>
  </si>
  <si>
    <t xml:space="preserve">Rango VPN total</t>
  </si>
  <si>
    <t xml:space="preserve">VPN Fase 1 con −20 %</t>
  </si>
  <si>
    <t xml:space="preserve">VPN Fase 1 con +20 %</t>
  </si>
  <si>
    <t xml:space="preserve">Rango VPN Fase 1</t>
  </si>
  <si>
    <t xml:space="preserve">Costos fijos tiendas</t>
  </si>
  <si>
    <t xml:space="preserve">Margen de contribución tiendas</t>
  </si>
  <si>
    <t xml:space="preserve">Ventas maduras tiendas</t>
  </si>
  <si>
    <t xml:space="preserve">Crecimiento online</t>
  </si>
  <si>
    <t xml:space="preserve">Costo de producción por kg (online y B2B)</t>
  </si>
  <si>
    <t xml:space="preserve">Inversión total</t>
  </si>
  <si>
    <t xml:space="preserve">TMAR</t>
  </si>
  <si>
    <t xml:space="preserve">Costos fijos Fase 1</t>
  </si>
  <si>
    <t xml:space="preserve">Ventas B2B adicionales</t>
  </si>
  <si>
    <t xml:space="preserve">VPN base: proyecto completo</t>
  </si>
  <si>
    <t xml:space="preserve">VPN base: Fase 1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</si>
</sst>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;\(#,##0\);\-"/>
    <numFmt numFmtId="166" formatCode="0.0%;\(0.0%\);\-"/>
    <numFmt numFmtId="167" formatCode="0.00"/>
    <numFmt numFmtId="168" formatCode="0.00%;\(0.00%\);\-"/>
    <numFmt numFmtId="169" formatCode="0.000%"/>
    <numFmt numFmtId="170" formatCode="#,##0.00;\(#,##0.00\);\-"/>
    <numFmt numFmtId="171" formatCode="0.0000%"/>
    <numFmt numFmtId="172" formatCode="0.0"/>
    <numFmt numFmtId="173" formatCode="0"/>
    <numFmt numFmtId="174" formatCode="#,##0"/>
    <numFmt numFmtId="175" formatCode="0.00000"/>
    <numFmt numFmtId="176" formatCode="0.0\x"/>
    <numFmt numFmtId="17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E342E"/>
        <bgColor rgb="FF333300"/>
      </patternFill>
    </fill>
    <fill>
      <patternFill patternType="solid">
        <fgColor rgb="FFEFE6DD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7CCC8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CC8"/>
      <rgbColor rgb="FF808080"/>
      <rgbColor rgb="FF9999FF"/>
      <rgbColor rgb="FF993366"/>
      <rgbColor rgb="FFEFE6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E3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Flujo_Pesimista!B80</f>
        <v>-139467.545255999</v>
      </c>
      <c r="C5" s="5" t="n">
        <f aca="false">Flujo_Base!B80</f>
        <v>117319.82275982</v>
      </c>
      <c r="D5" s="5" t="n">
        <f aca="false">Flujo_Optimista!B80</f>
        <v>430319.343366045</v>
      </c>
      <c r="E5" s="6" t="n">
        <f aca="false">SUMPRODUCT(B5:D5,Supuestos!$C$85:$E$85)</f>
        <v>131372.860907421</v>
      </c>
    </row>
    <row r="6" customFormat="false" ht="15" hidden="false" customHeight="false" outlineLevel="0" collapsed="false">
      <c r="A6" s="7" t="s">
        <v>8</v>
      </c>
      <c r="B6" s="5" t="n">
        <f aca="false">Flujo_Pesimista!B81</f>
        <v>-310886.636703349</v>
      </c>
      <c r="C6" s="5" t="n">
        <f aca="false">Flujo_Base!B81</f>
        <v>-140865.602074511</v>
      </c>
      <c r="D6" s="5" t="n">
        <f aca="false">Flujo_Optimista!B81</f>
        <v>28858.1673938038</v>
      </c>
      <c r="E6" s="6" t="n">
        <f aca="false">SUMPRODUCT(B6:D6,Supuestos!$C$85:$E$85)</f>
        <v>-140939.918364642</v>
      </c>
    </row>
    <row r="7" customFormat="false" ht="15" hidden="false" customHeight="false" outlineLevel="0" collapsed="false">
      <c r="A7" s="7" t="s">
        <v>9</v>
      </c>
      <c r="B7" s="5" t="n">
        <f aca="false">Flujo_Pesimista!B82</f>
        <v>-178455.165408152</v>
      </c>
      <c r="C7" s="5" t="n">
        <f aca="false">Flujo_Base!B82</f>
        <v>-53812.7087017407</v>
      </c>
      <c r="D7" s="5" t="n">
        <f aca="false">Flujo_Optimista!B82</f>
        <v>59336.4709438024</v>
      </c>
      <c r="E7" s="6" t="n">
        <f aca="false">SUMPRODUCT(B7:D7,Supuestos!$C$85:$E$85)</f>
        <v>-56686.0279669577</v>
      </c>
    </row>
    <row r="8" customFormat="false" ht="15" hidden="false" customHeight="false" outlineLevel="0" collapsed="false">
      <c r="A8" s="7" t="s">
        <v>10</v>
      </c>
      <c r="B8" s="5" t="n">
        <f aca="false">Flujo_Pesimista!B83</f>
        <v>-489341.8021115</v>
      </c>
      <c r="C8" s="5" t="n">
        <f aca="false">Flujo_Base!B83</f>
        <v>-194678.310776251</v>
      </c>
      <c r="D8" s="5" t="n">
        <f aca="false">Flujo_Optimista!B83</f>
        <v>88194.6383376061</v>
      </c>
      <c r="E8" s="6" t="n">
        <f aca="false">SUMPRODUCT(B8:D8,Supuestos!$C$85:$E$85)</f>
        <v>-197625.946331599</v>
      </c>
    </row>
    <row r="9" customFormat="false" ht="15" hidden="false" customHeight="false" outlineLevel="0" collapsed="false">
      <c r="A9" s="4" t="s">
        <v>11</v>
      </c>
      <c r="B9" s="5" t="n">
        <f aca="false">Flujo_Pesimista!B84</f>
        <v>-628809.3473675</v>
      </c>
      <c r="C9" s="5" t="n">
        <f aca="false">Flujo_Base!B84</f>
        <v>-77358.4880164316</v>
      </c>
      <c r="D9" s="5" t="n">
        <f aca="false">Flujo_Optimista!B84</f>
        <v>518513.981703651</v>
      </c>
      <c r="E9" s="6" t="n">
        <f aca="false">SUMPRODUCT(B9:D9,Supuestos!$C$85:$E$85)</f>
        <v>-66253.0854241779</v>
      </c>
    </row>
    <row r="10" customFormat="false" ht="15" hidden="false" customHeight="false" outlineLevel="0" collapsed="false">
      <c r="A10" s="7" t="s">
        <v>12</v>
      </c>
      <c r="B10" s="5" t="n">
        <f aca="false">Flujo_Pesimista!B85</f>
        <v>-547968.957007543</v>
      </c>
      <c r="C10" s="5" t="n">
        <f aca="false">Flujo_Base!B85</f>
        <v>3481.90234352532</v>
      </c>
      <c r="D10" s="5" t="n">
        <f aca="false">Flujo_Optimista!B85</f>
        <v>599354.372063608</v>
      </c>
      <c r="E10" s="6" t="n">
        <f aca="false">SUMPRODUCT(B10:D10,Supuestos!$C$85:$E$85)</f>
        <v>14587.304935779</v>
      </c>
    </row>
    <row r="11" customFormat="false" ht="15" hidden="false" customHeight="false" outlineLevel="0" collapsed="false">
      <c r="A11" s="7" t="s">
        <v>13</v>
      </c>
      <c r="B11" s="5" t="n">
        <f aca="false">Flujo_Pesimista!B86</f>
        <v>-95679.0004776892</v>
      </c>
      <c r="C11" s="5" t="n">
        <f aca="false">Flujo_Base!B86</f>
        <v>161108.36753813</v>
      </c>
      <c r="D11" s="5" t="n">
        <f aca="false">Flujo_Optimista!B86</f>
        <v>474107.888144355</v>
      </c>
      <c r="E11" s="6" t="n">
        <f aca="false">SUMPRODUCT(B11:D11,Supuestos!$C$85:$E$85)</f>
        <v>175161.405685731</v>
      </c>
    </row>
    <row r="13" customFormat="false" ht="15" hidden="false" customHeight="false" outlineLevel="0" collapsed="false">
      <c r="A13" s="3" t="s">
        <v>14</v>
      </c>
      <c r="B13" s="3" t="s">
        <v>3</v>
      </c>
      <c r="C13" s="3" t="s">
        <v>4</v>
      </c>
      <c r="D13" s="3" t="s">
        <v>5</v>
      </c>
      <c r="E13" s="3" t="s">
        <v>6</v>
      </c>
    </row>
    <row r="14" customFormat="false" ht="15" hidden="false" customHeight="false" outlineLevel="0" collapsed="false">
      <c r="A14" s="4" t="s">
        <v>7</v>
      </c>
      <c r="B14" s="5" t="n">
        <f aca="false">Flujo_Pesimista!C80</f>
        <v>-42594.6967523973</v>
      </c>
      <c r="C14" s="5" t="n">
        <f aca="false">Flujo_Base!C80</f>
        <v>35830.5745205949</v>
      </c>
      <c r="D14" s="5" t="n">
        <f aca="false">Flujo_Optimista!C80</f>
        <v>131423.564555632</v>
      </c>
      <c r="E14" s="6" t="n">
        <f aca="false">SUMPRODUCT(B14:D14,Supuestos!$C$85:$E$85)</f>
        <v>40122.5042111063</v>
      </c>
    </row>
    <row r="15" customFormat="false" ht="15" hidden="false" customHeight="false" outlineLevel="0" collapsed="false">
      <c r="A15" s="7" t="s">
        <v>10</v>
      </c>
      <c r="B15" s="5" t="n">
        <f aca="false">Flujo_Pesimista!C83</f>
        <v>-149449.577182648</v>
      </c>
      <c r="C15" s="5" t="n">
        <f aca="false">Flujo_Base!C83</f>
        <v>-59456.5825085868</v>
      </c>
      <c r="D15" s="5" t="n">
        <f aca="false">Flujo_Optimista!C83</f>
        <v>26935.4699567001</v>
      </c>
      <c r="E15" s="6" t="n">
        <f aca="false">SUMPRODUCT(B15:D15,Supuestos!$C$85:$E$85)</f>
        <v>-60356.8180607805</v>
      </c>
    </row>
    <row r="16" customFormat="false" ht="15" hidden="false" customHeight="false" outlineLevel="0" collapsed="false">
      <c r="A16" s="4" t="s">
        <v>11</v>
      </c>
      <c r="B16" s="5" t="n">
        <f aca="false">Flujo_Pesimista!C84</f>
        <v>-192044.273935046</v>
      </c>
      <c r="C16" s="5" t="n">
        <f aca="false">Flujo_Base!C84</f>
        <v>-23626.0079879919</v>
      </c>
      <c r="D16" s="5" t="n">
        <f aca="false">Flujo_Optimista!C84</f>
        <v>158359.034512333</v>
      </c>
      <c r="E16" s="6" t="n">
        <f aca="false">SUMPRODUCT(B16:D16,Supuestos!$C$85:$E$85)</f>
        <v>-20234.3138496742</v>
      </c>
    </row>
    <row r="18" customFormat="false" ht="15" hidden="false" customHeight="false" outlineLevel="0" collapsed="false">
      <c r="A18" s="3" t="s">
        <v>15</v>
      </c>
      <c r="B18" s="3" t="s">
        <v>3</v>
      </c>
      <c r="C18" s="3" t="s">
        <v>4</v>
      </c>
      <c r="D18" s="3" t="s">
        <v>5</v>
      </c>
      <c r="E18" s="3"/>
    </row>
    <row r="19" customFormat="false" ht="15" hidden="false" customHeight="false" outlineLevel="0" collapsed="false">
      <c r="A19" s="4" t="s">
        <v>7</v>
      </c>
      <c r="B19" s="8" t="n">
        <f aca="false">Flujo_Pesimista!F91</f>
        <v>-0.0109228839144678</v>
      </c>
      <c r="C19" s="8" t="n">
        <f aca="false">Flujo_Base!F91</f>
        <v>0.276014427899246</v>
      </c>
      <c r="D19" s="8" t="n">
        <f aca="false">Flujo_Optimista!F91</f>
        <v>0.508203175523391</v>
      </c>
    </row>
    <row r="20" customFormat="false" ht="15" hidden="false" customHeight="false" outlineLevel="0" collapsed="false">
      <c r="A20" s="7" t="s">
        <v>10</v>
      </c>
      <c r="B20" s="8" t="str">
        <f aca="false">Flujo_Pesimista!F94</f>
        <v>No existe</v>
      </c>
      <c r="C20" s="8" t="n">
        <f aca="false">Flujo_Base!F94</f>
        <v>-0.0835915785300862</v>
      </c>
      <c r="D20" s="8" t="n">
        <f aca="false">Flujo_Optimista!F94</f>
        <v>0.2545772751167</v>
      </c>
    </row>
    <row r="21" customFormat="false" ht="15" hidden="false" customHeight="false" outlineLevel="0" collapsed="false">
      <c r="A21" s="4" t="s">
        <v>11</v>
      </c>
      <c r="B21" s="8" t="n">
        <f aca="false">Flujo_Pesimista!F95</f>
        <v>-0.297333535530441</v>
      </c>
      <c r="C21" s="8" t="n">
        <f aca="false">Flujo_Base!F95</f>
        <v>0.119578864498808</v>
      </c>
      <c r="D21" s="8" t="n">
        <f aca="false">Flujo_Optimista!F95</f>
        <v>0.396323941354926</v>
      </c>
    </row>
    <row r="23" customFormat="false" ht="15" hidden="false" customHeight="false" outlineLevel="0" collapsed="false">
      <c r="A23" s="3" t="s">
        <v>16</v>
      </c>
      <c r="B23" s="3" t="s">
        <v>3</v>
      </c>
      <c r="C23" s="3" t="s">
        <v>4</v>
      </c>
      <c r="D23" s="3" t="s">
        <v>5</v>
      </c>
      <c r="E23" s="3"/>
    </row>
    <row r="24" customFormat="false" ht="15" hidden="false" customHeight="false" outlineLevel="0" collapsed="false">
      <c r="A24" s="4" t="s">
        <v>7</v>
      </c>
      <c r="B24" s="8" t="n">
        <f aca="false">Flujo_Pesimista!D103</f>
        <v>0.00461681303059236</v>
      </c>
      <c r="C24" s="8" t="n">
        <f aca="false">Flujo_Base!D103</f>
        <v>0.249698486882898</v>
      </c>
      <c r="D24" s="8" t="n">
        <f aca="false">Flujo_Optimista!D103</f>
        <v>0.410176029640806</v>
      </c>
    </row>
    <row r="25" customFormat="false" ht="15" hidden="false" customHeight="false" outlineLevel="0" collapsed="false">
      <c r="A25" s="7" t="s">
        <v>10</v>
      </c>
      <c r="B25" s="8" t="str">
        <f aca="false">Flujo_Pesimista!D106</f>
        <v>No existe</v>
      </c>
      <c r="C25" s="8" t="n">
        <f aca="false">Flujo_Base!D106</f>
        <v>-0.0389386341466008</v>
      </c>
      <c r="D25" s="8" t="n">
        <f aca="false">Flujo_Optimista!D106</f>
        <v>0.227241603814003</v>
      </c>
    </row>
    <row r="26" customFormat="false" ht="15" hidden="false" customHeight="false" outlineLevel="0" collapsed="false">
      <c r="A26" s="4" t="s">
        <v>11</v>
      </c>
      <c r="B26" s="8" t="n">
        <f aca="false">Flujo_Pesimista!D107</f>
        <v>-0.247722305302906</v>
      </c>
      <c r="C26" s="8" t="n">
        <f aca="false">Flujo_Base!D107</f>
        <v>0.124541263164248</v>
      </c>
      <c r="D26" s="8" t="n">
        <f aca="false">Flujo_Optimista!D107</f>
        <v>0.338774937202733</v>
      </c>
    </row>
    <row r="28" customFormat="false" ht="15" hidden="false" customHeight="false" outlineLevel="0" collapsed="false">
      <c r="A28" s="3" t="s">
        <v>17</v>
      </c>
      <c r="B28" s="3" t="s">
        <v>3</v>
      </c>
      <c r="C28" s="3" t="s">
        <v>4</v>
      </c>
      <c r="D28" s="3" t="s">
        <v>5</v>
      </c>
      <c r="E28" s="3"/>
    </row>
    <row r="29" customFormat="false" ht="15" hidden="false" customHeight="false" outlineLevel="0" collapsed="false">
      <c r="A29" s="4" t="s">
        <v>7</v>
      </c>
      <c r="B29" s="9" t="n">
        <f aca="false">Flujo_Pesimista!F80</f>
        <v>0.487943665508243</v>
      </c>
      <c r="C29" s="9" t="n">
        <f aca="false">Flujo_Base!F80</f>
        <v>1.45123008753777</v>
      </c>
      <c r="D29" s="9" t="n">
        <f aca="false">Flujo_Optimista!F80</f>
        <v>2.65507439756171</v>
      </c>
    </row>
    <row r="30" customFormat="false" ht="15" hidden="false" customHeight="false" outlineLevel="0" collapsed="false">
      <c r="A30" s="7" t="s">
        <v>10</v>
      </c>
      <c r="B30" s="9" t="n">
        <f aca="false">Flujo_Pesimista!F83</f>
        <v>0</v>
      </c>
      <c r="C30" s="9" t="n">
        <f aca="false">Flujo_Base!F83</f>
        <v>0.395351980400707</v>
      </c>
      <c r="D30" s="9" t="n">
        <f aca="false">Flujo_Optimista!F83</f>
        <v>1.33293613380355</v>
      </c>
    </row>
    <row r="31" customFormat="false" ht="15" hidden="false" customHeight="false" outlineLevel="0" collapsed="false">
      <c r="A31" s="4" t="s">
        <v>11</v>
      </c>
      <c r="B31" s="9" t="n">
        <f aca="false">Flujo_Pesimista!F84</f>
        <v>0.116659049035399</v>
      </c>
      <c r="C31" s="9" t="n">
        <f aca="false">Flujo_Base!F84</f>
        <v>0.859968940326058</v>
      </c>
      <c r="D31" s="9" t="n">
        <f aca="false">Flujo_Optimista!F84</f>
        <v>2.04955362510028</v>
      </c>
    </row>
    <row r="33" customFormat="false" ht="15" hidden="false" customHeight="false" outlineLevel="0" collapsed="false">
      <c r="A33" s="3" t="s">
        <v>18</v>
      </c>
      <c r="B33" s="3" t="s">
        <v>19</v>
      </c>
      <c r="C33" s="3"/>
      <c r="D33" s="3"/>
      <c r="E33" s="3"/>
    </row>
    <row r="34" customFormat="false" ht="15" hidden="false" customHeight="false" outlineLevel="0" collapsed="false">
      <c r="A34" s="7" t="s">
        <v>20</v>
      </c>
      <c r="B34" s="10" t="n">
        <f aca="false">Tasas!$C$6</f>
        <v>0.102225</v>
      </c>
    </row>
    <row r="35" customFormat="false" ht="15" hidden="false" customHeight="false" outlineLevel="0" collapsed="false">
      <c r="A35" s="7" t="s">
        <v>21</v>
      </c>
      <c r="B35" s="10" t="n">
        <f aca="false">Tasas!$C$7</f>
        <v>0.10855</v>
      </c>
    </row>
    <row r="36" customFormat="false" ht="15" hidden="false" customHeight="false" outlineLevel="0" collapsed="false">
      <c r="A36" s="7" t="s">
        <v>22</v>
      </c>
      <c r="B36" s="10" t="n">
        <f aca="false">Tasas!$C$8</f>
        <v>0.10380625</v>
      </c>
    </row>
    <row r="37" customFormat="false" ht="15" hidden="false" customHeight="false" outlineLevel="0" collapsed="false">
      <c r="A37" s="7" t="s">
        <v>23</v>
      </c>
      <c r="B37" s="10" t="n">
        <f aca="false">Tasas!$C$9</f>
        <v>0.0821629901960784</v>
      </c>
    </row>
    <row r="38" customFormat="false" ht="15" hidden="false" customHeight="false" outlineLevel="0" collapsed="false">
      <c r="A38" s="7" t="s">
        <v>24</v>
      </c>
      <c r="B38" s="10" t="n">
        <f aca="false">Tasas!$C$10</f>
        <v>0.16</v>
      </c>
    </row>
    <row r="39" customFormat="false" ht="15" hidden="false" customHeight="false" outlineLevel="0" collapsed="false">
      <c r="A39" s="7" t="s">
        <v>25</v>
      </c>
      <c r="B39" s="10" t="n">
        <f aca="false">Tasas!$C$12</f>
        <v>0.1832</v>
      </c>
    </row>
    <row r="40" customFormat="false" ht="15" hidden="false" customHeight="false" outlineLevel="0" collapsed="false">
      <c r="A40" s="7" t="s">
        <v>26</v>
      </c>
      <c r="B40" s="10" t="n">
        <f aca="false">Tasas!$C$13</f>
        <v>0.226950354609929</v>
      </c>
    </row>
    <row r="42" customFormat="false" ht="15" hidden="false" customHeight="false" outlineLevel="0" collapsed="false">
      <c r="A42" s="3" t="s">
        <v>27</v>
      </c>
      <c r="B42" s="3" t="s">
        <v>28</v>
      </c>
      <c r="C42" s="3" t="s">
        <v>29</v>
      </c>
      <c r="D42" s="3"/>
      <c r="E42" s="3"/>
    </row>
    <row r="43" customFormat="false" ht="15" hidden="false" customHeight="false" outlineLevel="0" collapsed="false">
      <c r="A43" s="7" t="s">
        <v>30</v>
      </c>
      <c r="B43" s="11" t="n">
        <f aca="false">Tasas!$C$5</f>
        <v>0.0113476210381231</v>
      </c>
      <c r="C43" s="11" t="n">
        <f aca="false">Tasas!$C$5</f>
        <v>0.0113476210381231</v>
      </c>
    </row>
    <row r="44" customFormat="false" ht="15" hidden="false" customHeight="false" outlineLevel="0" collapsed="false">
      <c r="A44" s="7" t="s">
        <v>31</v>
      </c>
      <c r="B44" s="5" t="n">
        <f aca="false">Prestamo!F5</f>
        <v>16316.1482825308</v>
      </c>
      <c r="C44" s="5" t="n">
        <f aca="false">Prestamo!L5</f>
        <v>8837.91365303753</v>
      </c>
    </row>
    <row r="45" customFormat="false" ht="15" hidden="false" customHeight="false" outlineLevel="0" collapsed="false">
      <c r="A45" s="7" t="s">
        <v>32</v>
      </c>
      <c r="B45" s="5" t="n">
        <f aca="false">Prestamo!F44</f>
        <v>195793.77939037</v>
      </c>
      <c r="C45" s="5" t="n">
        <f aca="false">Prestamo!L44</f>
        <v>106054.96383645</v>
      </c>
    </row>
    <row r="46" customFormat="false" ht="15" hidden="false" customHeight="false" outlineLevel="0" collapsed="false">
      <c r="A46" s="7" t="s">
        <v>33</v>
      </c>
      <c r="B46" s="5" t="n">
        <f aca="false">Prestamo!D49</f>
        <v>107381.33817111</v>
      </c>
      <c r="C46" s="5" t="n">
        <f aca="false">Prestamo!J49</f>
        <v>58164.8915093511</v>
      </c>
    </row>
    <row r="48" customFormat="false" ht="15" hidden="false" customHeight="false" outlineLevel="0" collapsed="false">
      <c r="A48" s="3" t="s">
        <v>34</v>
      </c>
      <c r="B48" s="3" t="s">
        <v>35</v>
      </c>
      <c r="C48" s="3" t="s">
        <v>36</v>
      </c>
      <c r="D48" s="3"/>
      <c r="E48" s="3"/>
    </row>
    <row r="49" customFormat="false" ht="15" hidden="false" customHeight="false" outlineLevel="0" collapsed="false">
      <c r="A49" s="7" t="s">
        <v>37</v>
      </c>
      <c r="B49" s="5" t="n">
        <f aca="false">Equilibrio!B10</f>
        <v>348387.096774194</v>
      </c>
      <c r="C49" s="5" t="n">
        <f aca="false">Equilibrio!C10</f>
        <v>212903.225806452</v>
      </c>
    </row>
    <row r="50" customFormat="false" ht="15" hidden="false" customHeight="false" outlineLevel="0" collapsed="false">
      <c r="A50" s="7" t="s">
        <v>38</v>
      </c>
      <c r="B50" s="5" t="n">
        <f aca="false">Equilibrio!B14</f>
        <v>408906.578848476</v>
      </c>
      <c r="C50" s="5" t="n">
        <f aca="false">Equilibrio!C14</f>
        <v>254891.533111984</v>
      </c>
    </row>
    <row r="51" customFormat="false" ht="15" hidden="false" customHeight="false" outlineLevel="0" collapsed="false">
      <c r="A51" s="7" t="s">
        <v>39</v>
      </c>
      <c r="B51" s="5" t="n">
        <f aca="false">Equilibrio!B15</f>
        <v>400000</v>
      </c>
      <c r="C51" s="5" t="n">
        <f aca="false">Equilibrio!C15</f>
        <v>280000</v>
      </c>
    </row>
    <row r="53" customFormat="false" ht="15" hidden="false" customHeight="false" outlineLevel="0" collapsed="false">
      <c r="A53" s="7" t="s">
        <v>40</v>
      </c>
      <c r="B53" s="9" t="n">
        <f aca="false">Incremental!C14</f>
        <v>0.334292172203929</v>
      </c>
      <c r="C53" s="12" t="str">
        <f aca="false">Incremental!C15</f>
        <v>Defensora (Fase 1)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48"/>
    <col collapsed="false" customWidth="true" hidden="false" outlineLevel="0" max="4" min="4" style="0" width="15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26.85" hidden="false" customHeight="false" outlineLevel="0" collapsed="false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</row>
    <row r="5" customFormat="false" ht="15" hidden="false" customHeight="false" outlineLevel="0" collapsed="false">
      <c r="A5" s="7" t="s">
        <v>48</v>
      </c>
      <c r="B5" s="7" t="s">
        <v>49</v>
      </c>
      <c r="C5" s="2" t="s">
        <v>50</v>
      </c>
      <c r="D5" s="13" t="n">
        <f aca="false">Costos_Margenes!B11</f>
        <v>49.5</v>
      </c>
      <c r="E5" s="7" t="s">
        <v>51</v>
      </c>
    </row>
    <row r="6" customFormat="false" ht="15" hidden="false" customHeight="false" outlineLevel="0" collapsed="false">
      <c r="A6" s="7" t="s">
        <v>52</v>
      </c>
      <c r="B6" s="7" t="s">
        <v>53</v>
      </c>
      <c r="C6" s="2" t="s">
        <v>54</v>
      </c>
      <c r="D6" s="5" t="n">
        <f aca="false">Costos_Margenes!D32</f>
        <v>519019.484278578</v>
      </c>
      <c r="E6" s="7" t="s">
        <v>51</v>
      </c>
    </row>
    <row r="7" customFormat="false" ht="15" hidden="false" customHeight="false" outlineLevel="0" collapsed="false">
      <c r="A7" s="7" t="s">
        <v>55</v>
      </c>
      <c r="B7" s="7" t="s">
        <v>56</v>
      </c>
      <c r="C7" s="2" t="s">
        <v>57</v>
      </c>
      <c r="D7" s="13" t="n">
        <f aca="false">Costos_Margenes!I15</f>
        <v>130.5</v>
      </c>
      <c r="E7" s="7" t="s">
        <v>51</v>
      </c>
    </row>
    <row r="8" customFormat="false" ht="15" hidden="false" customHeight="false" outlineLevel="0" collapsed="false">
      <c r="A8" s="7" t="s">
        <v>55</v>
      </c>
      <c r="B8" s="7" t="s">
        <v>58</v>
      </c>
      <c r="C8" s="2" t="s">
        <v>59</v>
      </c>
      <c r="D8" s="13" t="n">
        <f aca="false">Costos_Margenes!I16</f>
        <v>79.02</v>
      </c>
      <c r="E8" s="7" t="s">
        <v>51</v>
      </c>
    </row>
    <row r="9" customFormat="false" ht="15" hidden="false" customHeight="false" outlineLevel="0" collapsed="false">
      <c r="A9" s="7" t="s">
        <v>55</v>
      </c>
      <c r="B9" s="7" t="s">
        <v>60</v>
      </c>
      <c r="C9" s="2" t="s">
        <v>61</v>
      </c>
      <c r="D9" s="13" t="n">
        <f aca="false">Costos_Margenes!I17</f>
        <v>32.5</v>
      </c>
      <c r="E9" s="7" t="s">
        <v>51</v>
      </c>
    </row>
    <row r="10" customFormat="false" ht="15" hidden="false" customHeight="false" outlineLevel="0" collapsed="false">
      <c r="A10" s="7" t="s">
        <v>62</v>
      </c>
      <c r="B10" s="7" t="s">
        <v>63</v>
      </c>
      <c r="C10" s="2" t="s">
        <v>64</v>
      </c>
      <c r="D10" s="5" t="n">
        <f aca="false">Costos_Margenes!D24</f>
        <v>10485.2421066379</v>
      </c>
      <c r="E10" s="7" t="s">
        <v>51</v>
      </c>
    </row>
    <row r="11" customFormat="false" ht="15" hidden="false" customHeight="false" outlineLevel="0" collapsed="false">
      <c r="A11" s="7" t="s">
        <v>62</v>
      </c>
      <c r="B11" s="7" t="s">
        <v>65</v>
      </c>
      <c r="C11" s="2" t="s">
        <v>66</v>
      </c>
      <c r="D11" s="8" t="n">
        <f aca="false">Costos_Margenes!B27</f>
        <v>0.436885087776581</v>
      </c>
      <c r="E11" s="7" t="s">
        <v>51</v>
      </c>
    </row>
    <row r="12" customFormat="false" ht="15" hidden="false" customHeight="false" outlineLevel="0" collapsed="false">
      <c r="A12" s="7" t="s">
        <v>67</v>
      </c>
      <c r="B12" s="7" t="s">
        <v>68</v>
      </c>
      <c r="C12" s="2" t="s">
        <v>69</v>
      </c>
      <c r="D12" s="14" t="n">
        <f aca="false">Tasas!$C$5</f>
        <v>0.0113476210381231</v>
      </c>
      <c r="E12" s="7" t="s">
        <v>18</v>
      </c>
    </row>
    <row r="13" customFormat="false" ht="15" hidden="false" customHeight="false" outlineLevel="0" collapsed="false">
      <c r="A13" s="7" t="s">
        <v>67</v>
      </c>
      <c r="B13" s="7" t="s">
        <v>70</v>
      </c>
      <c r="C13" s="2" t="s">
        <v>71</v>
      </c>
      <c r="D13" s="10" t="n">
        <f aca="false">Tasas!$C$6</f>
        <v>0.102225</v>
      </c>
      <c r="E13" s="7" t="s">
        <v>18</v>
      </c>
    </row>
    <row r="14" customFormat="false" ht="15" hidden="false" customHeight="false" outlineLevel="0" collapsed="false">
      <c r="A14" s="7" t="s">
        <v>67</v>
      </c>
      <c r="B14" s="7" t="s">
        <v>21</v>
      </c>
      <c r="C14" s="2" t="s">
        <v>72</v>
      </c>
      <c r="D14" s="10" t="n">
        <f aca="false">Tasas!$C$7</f>
        <v>0.10855</v>
      </c>
      <c r="E14" s="7" t="s">
        <v>18</v>
      </c>
    </row>
    <row r="15" customFormat="false" ht="15" hidden="false" customHeight="false" outlineLevel="0" collapsed="false">
      <c r="A15" s="7" t="s">
        <v>67</v>
      </c>
      <c r="B15" s="7" t="s">
        <v>22</v>
      </c>
      <c r="C15" s="2" t="s">
        <v>73</v>
      </c>
      <c r="D15" s="10" t="n">
        <f aca="false">Tasas!$C$8</f>
        <v>0.10380625</v>
      </c>
      <c r="E15" s="7" t="s">
        <v>18</v>
      </c>
    </row>
    <row r="16" customFormat="false" ht="15" hidden="false" customHeight="false" outlineLevel="0" collapsed="false">
      <c r="A16" s="7" t="s">
        <v>67</v>
      </c>
      <c r="B16" s="7" t="s">
        <v>23</v>
      </c>
      <c r="C16" s="2" t="s">
        <v>74</v>
      </c>
      <c r="D16" s="10" t="n">
        <f aca="false">Tasas!$C$9</f>
        <v>0.0821629901960784</v>
      </c>
      <c r="E16" s="7" t="s">
        <v>18</v>
      </c>
    </row>
    <row r="17" customFormat="false" ht="15" hidden="false" customHeight="false" outlineLevel="0" collapsed="false">
      <c r="A17" s="7" t="s">
        <v>67</v>
      </c>
      <c r="B17" s="7" t="s">
        <v>25</v>
      </c>
      <c r="C17" s="2" t="s">
        <v>75</v>
      </c>
      <c r="D17" s="10" t="n">
        <f aca="false">Tasas!$C$12</f>
        <v>0.1832</v>
      </c>
      <c r="E17" s="7" t="s">
        <v>18</v>
      </c>
    </row>
    <row r="18" customFormat="false" ht="15" hidden="false" customHeight="false" outlineLevel="0" collapsed="false">
      <c r="A18" s="7" t="s">
        <v>67</v>
      </c>
      <c r="B18" s="7" t="s">
        <v>26</v>
      </c>
      <c r="C18" s="2" t="s">
        <v>76</v>
      </c>
      <c r="D18" s="10" t="n">
        <f aca="false">Tasas!$C$13</f>
        <v>0.226950354609929</v>
      </c>
      <c r="E18" s="7" t="s">
        <v>18</v>
      </c>
    </row>
    <row r="19" customFormat="false" ht="15" hidden="false" customHeight="false" outlineLevel="0" collapsed="false">
      <c r="A19" s="7" t="s">
        <v>77</v>
      </c>
      <c r="B19" s="7" t="s">
        <v>78</v>
      </c>
      <c r="C19" s="2" t="s">
        <v>79</v>
      </c>
      <c r="D19" s="5" t="n">
        <f aca="false">Prestamo!F5</f>
        <v>16316.1482825308</v>
      </c>
      <c r="E19" s="7" t="s">
        <v>80</v>
      </c>
    </row>
    <row r="20" customFormat="false" ht="15" hidden="false" customHeight="false" outlineLevel="0" collapsed="false">
      <c r="A20" s="7" t="s">
        <v>81</v>
      </c>
      <c r="B20" s="7" t="s">
        <v>82</v>
      </c>
      <c r="C20" s="2" t="s">
        <v>83</v>
      </c>
      <c r="D20" s="5" t="n">
        <f aca="false">Flujo_Base!C8</f>
        <v>89910</v>
      </c>
      <c r="E20" s="7" t="s">
        <v>84</v>
      </c>
    </row>
    <row r="21" customFormat="false" ht="15" hidden="false" customHeight="false" outlineLevel="0" collapsed="false">
      <c r="A21" s="7" t="s">
        <v>81</v>
      </c>
      <c r="B21" s="7" t="s">
        <v>85</v>
      </c>
      <c r="C21" s="2" t="s">
        <v>86</v>
      </c>
      <c r="D21" s="5" t="n">
        <f aca="false">Flujo_Base!G26</f>
        <v>378102.205564393</v>
      </c>
      <c r="E21" s="7" t="s">
        <v>84</v>
      </c>
    </row>
    <row r="22" customFormat="false" ht="15" hidden="false" customHeight="false" outlineLevel="0" collapsed="false">
      <c r="A22" s="7" t="s">
        <v>87</v>
      </c>
      <c r="B22" s="7" t="s">
        <v>88</v>
      </c>
      <c r="C22" s="2" t="s">
        <v>89</v>
      </c>
      <c r="D22" s="5" t="n">
        <f aca="false">Flujo_Base!B80</f>
        <v>117319.82275982</v>
      </c>
      <c r="E22" s="7" t="s">
        <v>84</v>
      </c>
    </row>
    <row r="23" customFormat="false" ht="15" hidden="false" customHeight="false" outlineLevel="0" collapsed="false">
      <c r="A23" s="7" t="s">
        <v>87</v>
      </c>
      <c r="B23" s="7" t="s">
        <v>90</v>
      </c>
      <c r="C23" s="2" t="s">
        <v>89</v>
      </c>
      <c r="D23" s="5" t="n">
        <f aca="false">Flujo_Base!B83</f>
        <v>-194678.310776251</v>
      </c>
      <c r="E23" s="7" t="s">
        <v>84</v>
      </c>
    </row>
    <row r="24" customFormat="false" ht="15" hidden="false" customHeight="false" outlineLevel="0" collapsed="false">
      <c r="A24" s="7" t="s">
        <v>87</v>
      </c>
      <c r="B24" s="7" t="s">
        <v>91</v>
      </c>
      <c r="C24" s="2" t="s">
        <v>89</v>
      </c>
      <c r="D24" s="5" t="n">
        <f aca="false">Flujo_Base!B84</f>
        <v>-77358.4880164316</v>
      </c>
      <c r="E24" s="7" t="s">
        <v>84</v>
      </c>
    </row>
    <row r="25" customFormat="false" ht="15" hidden="false" customHeight="false" outlineLevel="0" collapsed="false">
      <c r="A25" s="7" t="s">
        <v>92</v>
      </c>
      <c r="B25" s="7" t="s">
        <v>93</v>
      </c>
      <c r="C25" s="2" t="s">
        <v>94</v>
      </c>
      <c r="D25" s="5" t="n">
        <f aca="false">Flujo_Base!C80</f>
        <v>35830.5745205949</v>
      </c>
      <c r="E25" s="7" t="s">
        <v>84</v>
      </c>
    </row>
    <row r="26" customFormat="false" ht="15" hidden="false" customHeight="false" outlineLevel="0" collapsed="false">
      <c r="A26" s="7" t="s">
        <v>92</v>
      </c>
      <c r="B26" s="7" t="s">
        <v>95</v>
      </c>
      <c r="C26" s="2" t="s">
        <v>96</v>
      </c>
      <c r="D26" s="10" t="n">
        <f aca="false">Flujo_Base!F91</f>
        <v>0.276014427899246</v>
      </c>
      <c r="E26" s="7" t="s">
        <v>84</v>
      </c>
    </row>
    <row r="27" customFormat="false" ht="15" hidden="false" customHeight="false" outlineLevel="0" collapsed="false">
      <c r="A27" s="7" t="s">
        <v>92</v>
      </c>
      <c r="B27" s="7" t="s">
        <v>97</v>
      </c>
      <c r="C27" s="2" t="s">
        <v>96</v>
      </c>
      <c r="D27" s="10" t="n">
        <f aca="false">Flujo_Base!F95</f>
        <v>0.119578864498808</v>
      </c>
      <c r="E27" s="7" t="s">
        <v>84</v>
      </c>
    </row>
    <row r="28" customFormat="false" ht="15" hidden="false" customHeight="false" outlineLevel="0" collapsed="false">
      <c r="A28" s="7" t="s">
        <v>92</v>
      </c>
      <c r="B28" s="7" t="s">
        <v>98</v>
      </c>
      <c r="C28" s="2" t="s">
        <v>99</v>
      </c>
      <c r="D28" s="10" t="n">
        <f aca="false">Flujo_Base!D103</f>
        <v>0.249698486882898</v>
      </c>
      <c r="E28" s="7" t="s">
        <v>84</v>
      </c>
    </row>
    <row r="29" customFormat="false" ht="15" hidden="false" customHeight="false" outlineLevel="0" collapsed="false">
      <c r="A29" s="7" t="s">
        <v>92</v>
      </c>
      <c r="B29" s="7" t="s">
        <v>100</v>
      </c>
      <c r="C29" s="2" t="s">
        <v>101</v>
      </c>
      <c r="D29" s="9" t="n">
        <f aca="false">Flujo_Base!F80</f>
        <v>1.45123008753777</v>
      </c>
      <c r="E29" s="7" t="s">
        <v>84</v>
      </c>
    </row>
    <row r="30" customFormat="false" ht="15" hidden="false" customHeight="false" outlineLevel="0" collapsed="false">
      <c r="A30" s="7" t="s">
        <v>92</v>
      </c>
      <c r="B30" s="7" t="s">
        <v>102</v>
      </c>
      <c r="C30" s="2" t="s">
        <v>101</v>
      </c>
      <c r="D30" s="9" t="n">
        <f aca="false">Flujo_Base!F84</f>
        <v>0.859968940326058</v>
      </c>
      <c r="E30" s="7" t="s">
        <v>84</v>
      </c>
    </row>
    <row r="31" customFormat="false" ht="15" hidden="false" customHeight="false" outlineLevel="0" collapsed="false">
      <c r="A31" s="7" t="s">
        <v>92</v>
      </c>
      <c r="B31" s="7" t="s">
        <v>103</v>
      </c>
      <c r="C31" s="2" t="s">
        <v>104</v>
      </c>
      <c r="D31" s="15" t="n">
        <f aca="false">Flujo_Base!G80</f>
        <v>4.34829337840841</v>
      </c>
      <c r="E31" s="7" t="s">
        <v>84</v>
      </c>
    </row>
    <row r="32" customFormat="false" ht="15" hidden="false" customHeight="false" outlineLevel="0" collapsed="false">
      <c r="A32" s="7" t="s">
        <v>105</v>
      </c>
      <c r="B32" s="7" t="s">
        <v>106</v>
      </c>
      <c r="C32" s="2" t="s">
        <v>107</v>
      </c>
      <c r="D32" s="5" t="n">
        <f aca="false">Resumen!E5</f>
        <v>131372.860907421</v>
      </c>
      <c r="E32" s="7" t="s">
        <v>108</v>
      </c>
    </row>
    <row r="33" customFormat="false" ht="15" hidden="false" customHeight="false" outlineLevel="0" collapsed="false">
      <c r="A33" s="7" t="s">
        <v>105</v>
      </c>
      <c r="B33" s="7" t="s">
        <v>109</v>
      </c>
      <c r="C33" s="2" t="s">
        <v>107</v>
      </c>
      <c r="D33" s="5" t="n">
        <f aca="false">Resumen!E9</f>
        <v>-66253.0854241779</v>
      </c>
      <c r="E33" s="7" t="s">
        <v>108</v>
      </c>
    </row>
    <row r="34" customFormat="false" ht="15" hidden="false" customHeight="false" outlineLevel="0" collapsed="false">
      <c r="A34" s="7" t="s">
        <v>110</v>
      </c>
      <c r="B34" s="7" t="s">
        <v>111</v>
      </c>
      <c r="C34" s="2" t="s">
        <v>112</v>
      </c>
      <c r="D34" s="9" t="n">
        <f aca="false">Incremental!C14</f>
        <v>0.334292172203929</v>
      </c>
      <c r="E34" s="7" t="s">
        <v>113</v>
      </c>
    </row>
    <row r="35" customFormat="false" ht="15" hidden="false" customHeight="false" outlineLevel="0" collapsed="false">
      <c r="A35" s="7" t="s">
        <v>114</v>
      </c>
      <c r="B35" s="7" t="s">
        <v>115</v>
      </c>
      <c r="C35" s="2" t="s">
        <v>116</v>
      </c>
      <c r="D35" s="5" t="n">
        <f aca="false">Flujo_Base!B85</f>
        <v>3481.90234352532</v>
      </c>
      <c r="E35" s="7" t="s">
        <v>84</v>
      </c>
    </row>
    <row r="36" customFormat="false" ht="15" hidden="false" customHeight="false" outlineLevel="0" collapsed="false">
      <c r="A36" s="7" t="s">
        <v>114</v>
      </c>
      <c r="B36" s="7" t="s">
        <v>117</v>
      </c>
      <c r="C36" s="2" t="s">
        <v>116</v>
      </c>
      <c r="D36" s="5" t="n">
        <f aca="false">Flujo_Base!B86</f>
        <v>161108.36753813</v>
      </c>
      <c r="E36" s="7" t="s">
        <v>84</v>
      </c>
    </row>
    <row r="37" customFormat="false" ht="15" hidden="false" customHeight="false" outlineLevel="0" collapsed="false">
      <c r="A37" s="7" t="s">
        <v>114</v>
      </c>
      <c r="B37" s="7" t="s">
        <v>118</v>
      </c>
      <c r="C37" s="2" t="s">
        <v>119</v>
      </c>
      <c r="D37" s="5" t="n">
        <f aca="false">Inflacion!F15</f>
        <v>117319.82275982</v>
      </c>
      <c r="E37" s="7" t="s">
        <v>120</v>
      </c>
    </row>
    <row r="38" customFormat="false" ht="15" hidden="false" customHeight="false" outlineLevel="0" collapsed="false">
      <c r="A38" s="7" t="s">
        <v>121</v>
      </c>
      <c r="B38" s="7" t="s">
        <v>122</v>
      </c>
      <c r="C38" s="2" t="s">
        <v>123</v>
      </c>
      <c r="D38" s="5" t="n">
        <f aca="false">Equilibrio!B14</f>
        <v>408906.578848476</v>
      </c>
      <c r="E38" s="7" t="s">
        <v>124</v>
      </c>
    </row>
    <row r="39" customFormat="false" ht="15" hidden="false" customHeight="false" outlineLevel="0" collapsed="false">
      <c r="A39" s="7" t="s">
        <v>121</v>
      </c>
      <c r="B39" s="7" t="s">
        <v>125</v>
      </c>
      <c r="C39" s="2" t="s">
        <v>123</v>
      </c>
      <c r="D39" s="5" t="n">
        <f aca="false">Equilibrio!C14</f>
        <v>254891.533111984</v>
      </c>
      <c r="E39" s="7" t="s">
        <v>124</v>
      </c>
    </row>
    <row r="40" customFormat="false" ht="15" hidden="false" customHeight="false" outlineLevel="0" collapsed="false">
      <c r="A40" s="7" t="s">
        <v>121</v>
      </c>
      <c r="B40" s="7" t="s">
        <v>126</v>
      </c>
      <c r="C40" s="2" t="s">
        <v>127</v>
      </c>
      <c r="D40" s="5" t="n">
        <f aca="false">Equilibrio!B26</f>
        <v>1695.23302235513</v>
      </c>
      <c r="E40" s="7" t="s">
        <v>124</v>
      </c>
    </row>
    <row r="41" customFormat="false" ht="15" hidden="false" customHeight="false" outlineLevel="0" collapsed="false">
      <c r="A41" s="7" t="s">
        <v>128</v>
      </c>
      <c r="B41" s="7" t="s">
        <v>129</v>
      </c>
      <c r="C41" s="2" t="s">
        <v>130</v>
      </c>
      <c r="D41" s="5" t="n">
        <f aca="false">Factores!C26</f>
        <v>994179.700049187</v>
      </c>
      <c r="E41" s="7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66"/>
    <col collapsed="false" customWidth="true" hidden="false" outlineLevel="0" max="10" min="6" style="0" width="9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3" t="s">
        <v>134</v>
      </c>
      <c r="B4" s="3"/>
      <c r="C4" s="3" t="s">
        <v>19</v>
      </c>
      <c r="D4" s="3" t="s">
        <v>135</v>
      </c>
      <c r="E4" s="3" t="s">
        <v>136</v>
      </c>
      <c r="F4" s="16" t="s">
        <v>137</v>
      </c>
      <c r="G4" s="16" t="s">
        <v>138</v>
      </c>
      <c r="H4" s="16" t="s">
        <v>139</v>
      </c>
      <c r="I4" s="16" t="s">
        <v>140</v>
      </c>
      <c r="J4" s="16" t="s">
        <v>141</v>
      </c>
    </row>
    <row r="5" customFormat="false" ht="15" hidden="false" customHeight="false" outlineLevel="0" collapsed="false">
      <c r="A5" s="17" t="s">
        <v>142</v>
      </c>
      <c r="B5" s="18"/>
      <c r="C5" s="18"/>
      <c r="D5" s="18"/>
      <c r="E5" s="18"/>
    </row>
    <row r="6" customFormat="false" ht="15" hidden="false" customHeight="false" outlineLevel="0" collapsed="false">
      <c r="A6" s="7" t="s">
        <v>143</v>
      </c>
      <c r="C6" s="19" t="n">
        <v>0.16</v>
      </c>
      <c r="D6" s="7"/>
      <c r="E6" s="2" t="s">
        <v>144</v>
      </c>
    </row>
    <row r="7" customFormat="false" ht="15" hidden="false" customHeight="false" outlineLevel="0" collapsed="false">
      <c r="A7" s="7" t="s">
        <v>145</v>
      </c>
      <c r="C7" s="19" t="n">
        <v>0.295</v>
      </c>
      <c r="D7" s="7"/>
      <c r="E7" s="2" t="s">
        <v>146</v>
      </c>
    </row>
    <row r="8" customFormat="false" ht="15" hidden="false" customHeight="false" outlineLevel="0" collapsed="false">
      <c r="A8" s="7" t="s">
        <v>147</v>
      </c>
      <c r="C8" s="19" t="n">
        <v>0.02</v>
      </c>
      <c r="D8" s="7"/>
      <c r="E8" s="2" t="s">
        <v>148</v>
      </c>
    </row>
    <row r="9" customFormat="false" ht="15" hidden="false" customHeight="false" outlineLevel="0" collapsed="false">
      <c r="A9" s="7" t="s">
        <v>149</v>
      </c>
      <c r="C9" s="19" t="n">
        <v>0.1</v>
      </c>
      <c r="D9" s="7"/>
      <c r="E9" s="2" t="s">
        <v>150</v>
      </c>
    </row>
    <row r="10" customFormat="false" ht="15" hidden="false" customHeight="false" outlineLevel="0" collapsed="false">
      <c r="A10" s="7" t="s">
        <v>151</v>
      </c>
      <c r="C10" s="20" t="n">
        <v>5</v>
      </c>
      <c r="D10" s="7" t="s">
        <v>152</v>
      </c>
      <c r="E10" s="2" t="s">
        <v>153</v>
      </c>
    </row>
    <row r="12" customFormat="false" ht="15" hidden="false" customHeight="false" outlineLevel="0" collapsed="false">
      <c r="A12" s="17" t="s">
        <v>154</v>
      </c>
      <c r="B12" s="18"/>
      <c r="C12" s="18"/>
      <c r="D12" s="18"/>
      <c r="E12" s="18"/>
    </row>
    <row r="13" customFormat="false" ht="15" hidden="false" customHeight="false" outlineLevel="0" collapsed="false">
      <c r="A13" s="7" t="s">
        <v>155</v>
      </c>
      <c r="C13" s="21" t="n">
        <v>0.065</v>
      </c>
      <c r="D13" s="7"/>
      <c r="E13" s="2" t="s">
        <v>156</v>
      </c>
    </row>
    <row r="14" customFormat="false" ht="15" hidden="false" customHeight="false" outlineLevel="0" collapsed="false">
      <c r="A14" s="7" t="s">
        <v>157</v>
      </c>
      <c r="C14" s="22" t="n">
        <v>0.67</v>
      </c>
      <c r="D14" s="7"/>
      <c r="E14" s="2" t="s">
        <v>158</v>
      </c>
    </row>
    <row r="15" customFormat="false" ht="15" hidden="false" customHeight="false" outlineLevel="0" collapsed="false">
      <c r="A15" s="7" t="s">
        <v>159</v>
      </c>
      <c r="C15" s="19" t="n">
        <v>0.065</v>
      </c>
      <c r="D15" s="7"/>
      <c r="E15" s="2" t="s">
        <v>160</v>
      </c>
    </row>
    <row r="16" customFormat="false" ht="15" hidden="false" customHeight="false" outlineLevel="0" collapsed="false">
      <c r="A16" s="7" t="s">
        <v>161</v>
      </c>
      <c r="C16" s="19" t="n">
        <v>0.75</v>
      </c>
      <c r="D16" s="7"/>
      <c r="E16" s="2" t="s">
        <v>162</v>
      </c>
    </row>
    <row r="17" customFormat="false" ht="15" hidden="false" customHeight="false" outlineLevel="0" collapsed="false">
      <c r="A17" s="7" t="s">
        <v>163</v>
      </c>
      <c r="C17" s="23" t="n">
        <f aca="false">1-C16</f>
        <v>0.25</v>
      </c>
      <c r="E17" s="2" t="s">
        <v>164</v>
      </c>
    </row>
    <row r="19" customFormat="false" ht="15" hidden="false" customHeight="false" outlineLevel="0" collapsed="false">
      <c r="A19" s="17" t="s">
        <v>165</v>
      </c>
      <c r="B19" s="18"/>
      <c r="C19" s="18"/>
      <c r="D19" s="18"/>
      <c r="E19" s="18"/>
    </row>
    <row r="20" customFormat="false" ht="15" hidden="false" customHeight="false" outlineLevel="0" collapsed="false">
      <c r="A20" s="7" t="s">
        <v>166</v>
      </c>
      <c r="C20" s="24" t="n">
        <v>28.5</v>
      </c>
      <c r="D20" s="7" t="s">
        <v>167</v>
      </c>
      <c r="E20" s="2" t="s">
        <v>168</v>
      </c>
    </row>
    <row r="21" customFormat="false" ht="15" hidden="false" customHeight="false" outlineLevel="0" collapsed="false">
      <c r="A21" s="7" t="s">
        <v>169</v>
      </c>
      <c r="C21" s="24" t="n">
        <v>5.2</v>
      </c>
      <c r="D21" s="7" t="s">
        <v>167</v>
      </c>
      <c r="E21" s="2" t="s">
        <v>168</v>
      </c>
    </row>
    <row r="22" customFormat="false" ht="15" hidden="false" customHeight="false" outlineLevel="0" collapsed="false">
      <c r="A22" s="7" t="s">
        <v>170</v>
      </c>
      <c r="C22" s="24" t="n">
        <v>3.8</v>
      </c>
      <c r="D22" s="7" t="s">
        <v>167</v>
      </c>
      <c r="E22" s="2" t="s">
        <v>168</v>
      </c>
    </row>
    <row r="23" customFormat="false" ht="15" hidden="false" customHeight="false" outlineLevel="0" collapsed="false">
      <c r="A23" s="7" t="s">
        <v>171</v>
      </c>
      <c r="C23" s="24" t="n">
        <v>2.1</v>
      </c>
      <c r="D23" s="7" t="s">
        <v>167</v>
      </c>
      <c r="E23" s="2" t="s">
        <v>168</v>
      </c>
    </row>
    <row r="24" customFormat="false" ht="15" hidden="false" customHeight="false" outlineLevel="0" collapsed="false">
      <c r="A24" s="7" t="s">
        <v>172</v>
      </c>
      <c r="C24" s="24" t="n">
        <v>4.9</v>
      </c>
      <c r="D24" s="7" t="s">
        <v>167</v>
      </c>
      <c r="E24" s="2" t="s">
        <v>168</v>
      </c>
    </row>
    <row r="25" customFormat="false" ht="15" hidden="false" customHeight="false" outlineLevel="0" collapsed="false">
      <c r="A25" s="7" t="s">
        <v>173</v>
      </c>
      <c r="C25" s="24" t="n">
        <v>1.4</v>
      </c>
      <c r="D25" s="7" t="s">
        <v>167</v>
      </c>
      <c r="E25" s="2" t="s">
        <v>168</v>
      </c>
    </row>
    <row r="26" customFormat="false" ht="15" hidden="false" customHeight="false" outlineLevel="0" collapsed="false">
      <c r="A26" s="7" t="s">
        <v>174</v>
      </c>
      <c r="C26" s="24" t="n">
        <v>3.6</v>
      </c>
      <c r="D26" s="7" t="s">
        <v>167</v>
      </c>
      <c r="E26" s="2" t="s">
        <v>168</v>
      </c>
    </row>
    <row r="27" customFormat="false" ht="15" hidden="false" customHeight="false" outlineLevel="0" collapsed="false">
      <c r="A27" s="7" t="s">
        <v>175</v>
      </c>
      <c r="C27" s="25" t="n">
        <f aca="false">SUM(C20:C26)</f>
        <v>49.5</v>
      </c>
      <c r="E27" s="2" t="s">
        <v>176</v>
      </c>
    </row>
    <row r="29" customFormat="false" ht="15" hidden="false" customHeight="false" outlineLevel="0" collapsed="false">
      <c r="A29" s="17" t="s">
        <v>177</v>
      </c>
      <c r="B29" s="18"/>
      <c r="C29" s="18"/>
      <c r="D29" s="18"/>
      <c r="E29" s="18"/>
    </row>
    <row r="30" customFormat="false" ht="15" hidden="false" customHeight="false" outlineLevel="0" collapsed="false">
      <c r="A30" s="7" t="s">
        <v>178</v>
      </c>
      <c r="C30" s="26" t="n">
        <v>180</v>
      </c>
      <c r="D30" s="7" t="s">
        <v>167</v>
      </c>
      <c r="E30" s="2" t="s">
        <v>179</v>
      </c>
    </row>
    <row r="31" customFormat="false" ht="15" hidden="false" customHeight="false" outlineLevel="0" collapsed="false">
      <c r="A31" s="7" t="s">
        <v>180</v>
      </c>
      <c r="C31" s="26" t="n">
        <v>166</v>
      </c>
      <c r="D31" s="7" t="s">
        <v>167</v>
      </c>
      <c r="E31" s="2" t="s">
        <v>181</v>
      </c>
    </row>
    <row r="32" customFormat="false" ht="15" hidden="false" customHeight="false" outlineLevel="0" collapsed="false">
      <c r="A32" s="7" t="s">
        <v>182</v>
      </c>
      <c r="C32" s="24" t="n">
        <v>28</v>
      </c>
      <c r="D32" s="7" t="s">
        <v>167</v>
      </c>
      <c r="E32" s="2" t="s">
        <v>183</v>
      </c>
    </row>
    <row r="33" customFormat="false" ht="15" hidden="false" customHeight="false" outlineLevel="0" collapsed="false">
      <c r="A33" s="7" t="s">
        <v>184</v>
      </c>
      <c r="C33" s="21" t="n">
        <v>0.03</v>
      </c>
      <c r="D33" s="7"/>
      <c r="E33" s="2" t="s">
        <v>185</v>
      </c>
    </row>
    <row r="34" customFormat="false" ht="15" hidden="false" customHeight="false" outlineLevel="0" collapsed="false">
      <c r="A34" s="7" t="s">
        <v>186</v>
      </c>
      <c r="C34" s="24" t="n">
        <v>4.5</v>
      </c>
      <c r="D34" s="7" t="s">
        <v>167</v>
      </c>
      <c r="E34" s="2" t="s">
        <v>187</v>
      </c>
    </row>
    <row r="35" customFormat="false" ht="15" hidden="false" customHeight="false" outlineLevel="0" collapsed="false">
      <c r="A35" s="7" t="s">
        <v>188</v>
      </c>
      <c r="C35" s="24" t="n">
        <v>102.5</v>
      </c>
      <c r="D35" s="7" t="s">
        <v>167</v>
      </c>
      <c r="E35" s="2" t="s">
        <v>189</v>
      </c>
    </row>
    <row r="36" customFormat="false" ht="15" hidden="false" customHeight="false" outlineLevel="0" collapsed="false">
      <c r="A36" s="7" t="s">
        <v>190</v>
      </c>
      <c r="C36" s="21" t="n">
        <v>0.2</v>
      </c>
      <c r="D36" s="7"/>
      <c r="E36" s="2" t="s">
        <v>191</v>
      </c>
    </row>
    <row r="38" customFormat="false" ht="15" hidden="false" customHeight="false" outlineLevel="0" collapsed="false">
      <c r="A38" s="17" t="s">
        <v>192</v>
      </c>
      <c r="B38" s="18"/>
      <c r="C38" s="18"/>
      <c r="D38" s="18"/>
      <c r="E38" s="18"/>
    </row>
    <row r="39" customFormat="false" ht="15" hidden="false" customHeight="false" outlineLevel="0" collapsed="false">
      <c r="A39" s="7" t="s">
        <v>193</v>
      </c>
      <c r="C39" s="26" t="n">
        <v>1850000</v>
      </c>
      <c r="D39" s="7"/>
      <c r="E39" s="2" t="s">
        <v>194</v>
      </c>
    </row>
    <row r="40" customFormat="false" ht="15" hidden="false" customHeight="false" outlineLevel="0" collapsed="false">
      <c r="A40" s="7" t="s">
        <v>195</v>
      </c>
      <c r="C40" s="21" t="n">
        <v>0.58</v>
      </c>
      <c r="D40" s="7"/>
      <c r="E40" s="2" t="s">
        <v>187</v>
      </c>
    </row>
    <row r="41" customFormat="false" ht="15" hidden="false" customHeight="false" outlineLevel="0" collapsed="false">
      <c r="A41" s="7" t="s">
        <v>196</v>
      </c>
      <c r="C41" s="21" t="n">
        <v>0.27</v>
      </c>
      <c r="D41" s="7"/>
      <c r="E41" s="2" t="s">
        <v>187</v>
      </c>
    </row>
    <row r="42" customFormat="false" ht="15" hidden="false" customHeight="false" outlineLevel="0" collapsed="false">
      <c r="A42" s="7" t="s">
        <v>197</v>
      </c>
      <c r="C42" s="21" t="n">
        <v>0.15</v>
      </c>
      <c r="D42" s="7"/>
      <c r="E42" s="2" t="s">
        <v>187</v>
      </c>
    </row>
    <row r="43" customFormat="false" ht="15" hidden="false" customHeight="false" outlineLevel="0" collapsed="false">
      <c r="A43" s="7" t="s">
        <v>198</v>
      </c>
      <c r="C43" s="27" t="n">
        <f aca="false">Supuestos!$C$39*Supuestos!$C$40</f>
        <v>1073000</v>
      </c>
      <c r="E43" s="2" t="s">
        <v>199</v>
      </c>
    </row>
    <row r="44" customFormat="false" ht="15" hidden="false" customHeight="false" outlineLevel="0" collapsed="false">
      <c r="A44" s="7" t="s">
        <v>200</v>
      </c>
      <c r="C44" s="27" t="n">
        <f aca="false">Supuestos!$C$39*Supuestos!$C$41</f>
        <v>499500</v>
      </c>
      <c r="E44" s="2" t="s">
        <v>199</v>
      </c>
    </row>
    <row r="45" customFormat="false" ht="15" hidden="false" customHeight="false" outlineLevel="0" collapsed="false">
      <c r="A45" s="7" t="s">
        <v>201</v>
      </c>
      <c r="C45" s="27" t="n">
        <f aca="false">Supuestos!$C$39*Supuestos!$C$42</f>
        <v>277500</v>
      </c>
      <c r="E45" s="2" t="s">
        <v>199</v>
      </c>
    </row>
    <row r="46" customFormat="false" ht="15" hidden="false" customHeight="false" outlineLevel="0" collapsed="false">
      <c r="A46" s="7" t="s">
        <v>202</v>
      </c>
      <c r="C46" s="19" t="n">
        <v>0.8</v>
      </c>
      <c r="D46" s="7"/>
      <c r="E46" s="2" t="s">
        <v>203</v>
      </c>
    </row>
    <row r="47" customFormat="false" ht="15" hidden="false" customHeight="false" outlineLevel="0" collapsed="false">
      <c r="A47" s="7" t="s">
        <v>204</v>
      </c>
      <c r="C47" s="28" t="n">
        <v>80</v>
      </c>
      <c r="D47" s="7" t="s">
        <v>205</v>
      </c>
      <c r="E47" s="2" t="s">
        <v>187</v>
      </c>
    </row>
    <row r="48" customFormat="false" ht="15" hidden="false" customHeight="false" outlineLevel="0" collapsed="false">
      <c r="A48" s="7" t="s">
        <v>206</v>
      </c>
      <c r="C48" s="28" t="n">
        <v>250</v>
      </c>
      <c r="D48" s="7" t="s">
        <v>205</v>
      </c>
      <c r="E48" s="2" t="s">
        <v>187</v>
      </c>
    </row>
    <row r="49" customFormat="false" ht="15" hidden="false" customHeight="false" outlineLevel="0" collapsed="false">
      <c r="A49" s="7" t="s">
        <v>207</v>
      </c>
      <c r="C49" s="29" t="n">
        <v>300</v>
      </c>
      <c r="D49" s="7" t="s">
        <v>208</v>
      </c>
      <c r="E49" s="2" t="s">
        <v>209</v>
      </c>
    </row>
    <row r="51" customFormat="false" ht="15" hidden="false" customHeight="false" outlineLevel="0" collapsed="false">
      <c r="A51" s="17" t="s">
        <v>210</v>
      </c>
      <c r="B51" s="18"/>
      <c r="C51" s="18"/>
      <c r="D51" s="18"/>
      <c r="E51" s="18"/>
    </row>
    <row r="52" customFormat="false" ht="15" hidden="false" customHeight="false" outlineLevel="0" collapsed="false">
      <c r="A52" s="7" t="s">
        <v>211</v>
      </c>
      <c r="C52" s="30" t="n">
        <v>180000</v>
      </c>
      <c r="D52" s="7"/>
      <c r="E52" s="2" t="s">
        <v>212</v>
      </c>
    </row>
    <row r="53" customFormat="false" ht="15" hidden="false" customHeight="false" outlineLevel="0" collapsed="false">
      <c r="A53" s="7" t="s">
        <v>213</v>
      </c>
      <c r="C53" s="30" t="n">
        <v>50000</v>
      </c>
      <c r="D53" s="7"/>
      <c r="E53" s="2" t="s">
        <v>214</v>
      </c>
    </row>
    <row r="54" customFormat="false" ht="15" hidden="false" customHeight="false" outlineLevel="0" collapsed="false">
      <c r="A54" s="7" t="s">
        <v>215</v>
      </c>
      <c r="C54" s="30" t="n">
        <v>30000</v>
      </c>
      <c r="D54" s="7"/>
      <c r="E54" s="2" t="s">
        <v>216</v>
      </c>
    </row>
    <row r="55" customFormat="false" ht="15" hidden="false" customHeight="false" outlineLevel="0" collapsed="false">
      <c r="A55" s="7" t="s">
        <v>217</v>
      </c>
      <c r="C55" s="21" t="n">
        <v>0.1</v>
      </c>
      <c r="D55" s="7"/>
      <c r="E55" s="2" t="s">
        <v>218</v>
      </c>
    </row>
    <row r="56" customFormat="false" ht="15" hidden="false" customHeight="false" outlineLevel="0" collapsed="false">
      <c r="A56" s="7" t="s">
        <v>219</v>
      </c>
      <c r="C56" s="21" t="n">
        <v>0.2</v>
      </c>
      <c r="D56" s="7"/>
      <c r="E56" s="2" t="s">
        <v>220</v>
      </c>
    </row>
    <row r="57" customFormat="false" ht="15" hidden="false" customHeight="false" outlineLevel="0" collapsed="false">
      <c r="A57" s="7" t="s">
        <v>221</v>
      </c>
      <c r="C57" s="30" t="n">
        <v>72000</v>
      </c>
      <c r="D57" s="7"/>
      <c r="E57" s="2" t="s">
        <v>222</v>
      </c>
    </row>
    <row r="58" customFormat="false" ht="15" hidden="false" customHeight="false" outlineLevel="0" collapsed="false">
      <c r="A58" s="7" t="s">
        <v>223</v>
      </c>
      <c r="C58" s="24" t="n">
        <v>0.34</v>
      </c>
      <c r="D58" s="7" t="s">
        <v>167</v>
      </c>
      <c r="E58" s="2" t="s">
        <v>224</v>
      </c>
    </row>
    <row r="59" customFormat="false" ht="15" hidden="false" customHeight="false" outlineLevel="0" collapsed="false">
      <c r="A59" s="7" t="s">
        <v>225</v>
      </c>
      <c r="C59" s="24" t="n">
        <v>0.9</v>
      </c>
      <c r="D59" s="7" t="s">
        <v>167</v>
      </c>
      <c r="E59" s="2" t="s">
        <v>226</v>
      </c>
    </row>
    <row r="61" customFormat="false" ht="15" hidden="false" customHeight="false" outlineLevel="0" collapsed="false">
      <c r="A61" s="17" t="s">
        <v>227</v>
      </c>
      <c r="B61" s="18"/>
      <c r="C61" s="18"/>
      <c r="D61" s="18"/>
      <c r="E61" s="18"/>
    </row>
    <row r="62" customFormat="false" ht="15" hidden="false" customHeight="false" outlineLevel="0" collapsed="false">
      <c r="A62" s="7" t="s">
        <v>228</v>
      </c>
      <c r="C62" s="30" t="n">
        <v>115000</v>
      </c>
      <c r="D62" s="7"/>
      <c r="E62" s="2" t="s">
        <v>229</v>
      </c>
    </row>
    <row r="63" customFormat="false" ht="15" hidden="false" customHeight="false" outlineLevel="0" collapsed="false">
      <c r="A63" s="7" t="s">
        <v>230</v>
      </c>
      <c r="C63" s="30" t="n">
        <v>80000</v>
      </c>
      <c r="D63" s="7"/>
      <c r="E63" s="2" t="s">
        <v>229</v>
      </c>
    </row>
    <row r="64" customFormat="false" ht="15" hidden="false" customHeight="false" outlineLevel="0" collapsed="false">
      <c r="A64" s="7" t="s">
        <v>231</v>
      </c>
      <c r="C64" s="30" t="n">
        <v>15000</v>
      </c>
      <c r="D64" s="7"/>
      <c r="E64" s="2" t="s">
        <v>203</v>
      </c>
    </row>
    <row r="65" customFormat="false" ht="15" hidden="false" customHeight="false" outlineLevel="0" collapsed="false">
      <c r="A65" s="7" t="s">
        <v>232</v>
      </c>
      <c r="C65" s="30" t="n">
        <v>10000</v>
      </c>
      <c r="D65" s="7"/>
      <c r="E65" s="2" t="s">
        <v>203</v>
      </c>
    </row>
    <row r="66" customFormat="false" ht="15" hidden="false" customHeight="false" outlineLevel="0" collapsed="false">
      <c r="A66" s="7" t="s">
        <v>233</v>
      </c>
      <c r="C66" s="27" t="n">
        <f aca="false">Supuestos!$C$52+Supuestos!$C$53+Supuestos!$C$54+Supuestos!$C$62+Supuestos!$C$63+Supuestos!$C$64+Supuestos!$C$65</f>
        <v>480000</v>
      </c>
      <c r="E66" s="2" t="s">
        <v>234</v>
      </c>
    </row>
    <row r="67" customFormat="false" ht="15" hidden="false" customHeight="false" outlineLevel="0" collapsed="false">
      <c r="A67" s="7" t="s">
        <v>235</v>
      </c>
      <c r="C67" s="21" t="n">
        <v>0.2</v>
      </c>
      <c r="D67" s="7"/>
      <c r="E67" s="2" t="s">
        <v>236</v>
      </c>
    </row>
    <row r="68" customFormat="false" ht="15" hidden="false" customHeight="false" outlineLevel="0" collapsed="false">
      <c r="A68" s="7" t="s">
        <v>237</v>
      </c>
      <c r="C68" s="19" t="n">
        <v>0.62</v>
      </c>
      <c r="D68" s="7"/>
      <c r="E68" s="2" t="s">
        <v>238</v>
      </c>
    </row>
    <row r="69" customFormat="false" ht="15" hidden="false" customHeight="false" outlineLevel="0" collapsed="false">
      <c r="A69" s="7" t="s">
        <v>239</v>
      </c>
      <c r="C69" s="30" t="n">
        <v>216000</v>
      </c>
      <c r="D69" s="7"/>
      <c r="E69" s="2" t="s">
        <v>240</v>
      </c>
    </row>
    <row r="70" customFormat="false" ht="15" hidden="false" customHeight="false" outlineLevel="0" collapsed="false">
      <c r="A70" s="7" t="s">
        <v>241</v>
      </c>
      <c r="C70" s="30" t="n">
        <v>132000</v>
      </c>
      <c r="D70" s="7"/>
      <c r="E70" s="2" t="s">
        <v>242</v>
      </c>
    </row>
    <row r="71" customFormat="false" ht="15" hidden="false" customHeight="false" outlineLevel="0" collapsed="false">
      <c r="A71" s="7" t="s">
        <v>243</v>
      </c>
      <c r="E71" s="2" t="s">
        <v>244</v>
      </c>
      <c r="F71" s="19" t="n">
        <v>0.5</v>
      </c>
      <c r="G71" s="19" t="n">
        <v>0.75</v>
      </c>
      <c r="H71" s="19" t="n">
        <v>1</v>
      </c>
      <c r="I71" s="19" t="n">
        <v>1</v>
      </c>
      <c r="J71" s="19" t="n">
        <v>1</v>
      </c>
    </row>
    <row r="73" customFormat="false" ht="15" hidden="false" customHeight="false" outlineLevel="0" collapsed="false">
      <c r="A73" s="17" t="s">
        <v>245</v>
      </c>
      <c r="B73" s="18"/>
      <c r="C73" s="18"/>
      <c r="D73" s="18"/>
      <c r="E73" s="18"/>
    </row>
    <row r="74" customFormat="false" ht="15" hidden="false" customHeight="false" outlineLevel="0" collapsed="false">
      <c r="A74" s="7" t="s">
        <v>246</v>
      </c>
      <c r="C74" s="30" t="n">
        <v>480000</v>
      </c>
      <c r="D74" s="7"/>
      <c r="E74" s="2" t="s">
        <v>247</v>
      </c>
    </row>
    <row r="75" customFormat="false" ht="15" hidden="false" customHeight="false" outlineLevel="0" collapsed="false">
      <c r="A75" s="7" t="s">
        <v>248</v>
      </c>
      <c r="C75" s="26" t="n">
        <v>260000</v>
      </c>
      <c r="D75" s="7"/>
      <c r="E75" s="2" t="s">
        <v>249</v>
      </c>
    </row>
    <row r="76" customFormat="false" ht="15" hidden="false" customHeight="false" outlineLevel="0" collapsed="false">
      <c r="A76" s="7" t="s">
        <v>250</v>
      </c>
      <c r="C76" s="21" t="n">
        <v>0.145</v>
      </c>
      <c r="D76" s="7"/>
      <c r="E76" s="2" t="s">
        <v>251</v>
      </c>
    </row>
    <row r="77" customFormat="false" ht="15" hidden="false" customHeight="false" outlineLevel="0" collapsed="false">
      <c r="A77" s="7" t="s">
        <v>252</v>
      </c>
      <c r="C77" s="28" t="n">
        <v>36</v>
      </c>
      <c r="D77" s="7" t="s">
        <v>253</v>
      </c>
      <c r="E77" s="2" t="s">
        <v>187</v>
      </c>
    </row>
    <row r="79" customFormat="false" ht="15" hidden="false" customHeight="false" outlineLevel="0" collapsed="false">
      <c r="A79" s="17" t="s">
        <v>254</v>
      </c>
      <c r="B79" s="18"/>
      <c r="C79" s="18"/>
      <c r="D79" s="18"/>
      <c r="E79" s="18"/>
    </row>
    <row r="80" customFormat="false" ht="15" hidden="false" customHeight="false" outlineLevel="0" collapsed="false">
      <c r="A80" s="3" t="s">
        <v>255</v>
      </c>
      <c r="B80" s="3"/>
      <c r="C80" s="3" t="s">
        <v>3</v>
      </c>
      <c r="D80" s="3" t="s">
        <v>4</v>
      </c>
      <c r="E80" s="3" t="s">
        <v>5</v>
      </c>
    </row>
    <row r="81" customFormat="false" ht="15" hidden="false" customHeight="false" outlineLevel="0" collapsed="false">
      <c r="A81" s="7" t="s">
        <v>256</v>
      </c>
      <c r="C81" s="19" t="n">
        <v>0.08</v>
      </c>
      <c r="D81" s="19" t="n">
        <v>0.18</v>
      </c>
      <c r="E81" s="19" t="n">
        <v>0.28</v>
      </c>
    </row>
    <row r="82" customFormat="false" ht="15" hidden="false" customHeight="false" outlineLevel="0" collapsed="false">
      <c r="A82" s="7" t="s">
        <v>257</v>
      </c>
      <c r="C82" s="19" t="n">
        <v>0.25</v>
      </c>
      <c r="D82" s="19" t="n">
        <v>0.6</v>
      </c>
      <c r="E82" s="19" t="n">
        <v>1</v>
      </c>
    </row>
    <row r="83" customFormat="false" ht="15" hidden="false" customHeight="false" outlineLevel="0" collapsed="false">
      <c r="A83" s="7" t="s">
        <v>258</v>
      </c>
      <c r="C83" s="30" t="n">
        <v>250000</v>
      </c>
      <c r="D83" s="30" t="n">
        <v>400000</v>
      </c>
      <c r="E83" s="30" t="n">
        <v>550000</v>
      </c>
    </row>
    <row r="84" customFormat="false" ht="15" hidden="false" customHeight="false" outlineLevel="0" collapsed="false">
      <c r="A84" s="7" t="s">
        <v>259</v>
      </c>
      <c r="C84" s="30" t="n">
        <v>170000</v>
      </c>
      <c r="D84" s="30" t="n">
        <v>280000</v>
      </c>
      <c r="E84" s="30" t="n">
        <v>380000</v>
      </c>
    </row>
    <row r="85" customFormat="false" ht="15" hidden="false" customHeight="false" outlineLevel="0" collapsed="false">
      <c r="A85" s="7" t="s">
        <v>260</v>
      </c>
      <c r="C85" s="19" t="n">
        <v>0.25</v>
      </c>
      <c r="D85" s="19" t="n">
        <v>0.5</v>
      </c>
      <c r="E85" s="19" t="n">
        <v>0.25</v>
      </c>
    </row>
    <row r="86" customFormat="false" ht="15" hidden="false" customHeight="false" outlineLevel="0" collapsed="false">
      <c r="A86" s="2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64"/>
  </cols>
  <sheetData>
    <row r="1" customFormat="false" ht="17.35" hidden="false" customHeight="false" outlineLevel="0" collapsed="false">
      <c r="A1" s="1" t="s">
        <v>262</v>
      </c>
    </row>
    <row r="2" customFormat="false" ht="15" hidden="false" customHeight="false" outlineLevel="0" collapsed="false">
      <c r="A2" s="2" t="s">
        <v>263</v>
      </c>
    </row>
    <row r="4" customFormat="false" ht="15" hidden="false" customHeight="false" outlineLevel="0" collapsed="false">
      <c r="A4" s="3" t="s">
        <v>134</v>
      </c>
      <c r="B4" s="3" t="s">
        <v>264</v>
      </c>
      <c r="C4" s="3" t="s">
        <v>19</v>
      </c>
      <c r="D4" s="3" t="s">
        <v>265</v>
      </c>
    </row>
    <row r="5" customFormat="false" ht="15" hidden="false" customHeight="false" outlineLevel="0" collapsed="false">
      <c r="A5" s="7" t="s">
        <v>68</v>
      </c>
      <c r="B5" s="2" t="s">
        <v>69</v>
      </c>
      <c r="C5" s="31" t="n">
        <f aca="false">(1+Supuestos!$C$76)^(1/12)-1</f>
        <v>0.0113476210381231</v>
      </c>
      <c r="D5" s="2" t="s">
        <v>266</v>
      </c>
    </row>
    <row r="6" customFormat="false" ht="15" hidden="false" customHeight="false" outlineLevel="0" collapsed="false">
      <c r="A6" s="7" t="s">
        <v>70</v>
      </c>
      <c r="B6" s="2" t="s">
        <v>71</v>
      </c>
      <c r="C6" s="32" t="n">
        <f aca="false">Supuestos!$C$76*(1-Supuestos!$C$7)</f>
        <v>0.102225</v>
      </c>
      <c r="D6" s="2" t="s">
        <v>267</v>
      </c>
    </row>
    <row r="7" customFormat="false" ht="15" hidden="false" customHeight="false" outlineLevel="0" collapsed="false">
      <c r="A7" s="7" t="s">
        <v>21</v>
      </c>
      <c r="B7" s="2" t="s">
        <v>72</v>
      </c>
      <c r="C7" s="32" t="n">
        <f aca="false">Supuestos!$C$13+Supuestos!$C$14*Supuestos!$C$15</f>
        <v>0.10855</v>
      </c>
      <c r="D7" s="2" t="s">
        <v>268</v>
      </c>
    </row>
    <row r="8" customFormat="false" ht="15" hidden="false" customHeight="false" outlineLevel="0" collapsed="false">
      <c r="A8" s="7" t="s">
        <v>269</v>
      </c>
      <c r="B8" s="2" t="s">
        <v>73</v>
      </c>
      <c r="C8" s="33" t="n">
        <f aca="false">Supuestos!$C$16*Tasas!$C$6+Supuestos!$C$17*Tasas!$C$7</f>
        <v>0.10380625</v>
      </c>
      <c r="D8" s="2" t="s">
        <v>270</v>
      </c>
    </row>
    <row r="9" customFormat="false" ht="15" hidden="false" customHeight="false" outlineLevel="0" collapsed="false">
      <c r="A9" s="7" t="s">
        <v>271</v>
      </c>
      <c r="B9" s="2" t="s">
        <v>74</v>
      </c>
      <c r="C9" s="32" t="n">
        <f aca="false">(Tasas!$C$8-Supuestos!$C$8)/(1+Supuestos!$C$8)</f>
        <v>0.0821629901960784</v>
      </c>
      <c r="D9" s="2" t="s">
        <v>272</v>
      </c>
    </row>
    <row r="10" customFormat="false" ht="15" hidden="false" customHeight="false" outlineLevel="0" collapsed="false">
      <c r="A10" s="7" t="s">
        <v>273</v>
      </c>
      <c r="B10" s="2" t="s">
        <v>203</v>
      </c>
      <c r="C10" s="33" t="n">
        <f aca="false">Supuestos!$C$6</f>
        <v>0.16</v>
      </c>
      <c r="D10" s="2" t="s">
        <v>274</v>
      </c>
    </row>
    <row r="11" customFormat="false" ht="15" hidden="false" customHeight="false" outlineLevel="0" collapsed="false">
      <c r="A11" s="7" t="s">
        <v>275</v>
      </c>
      <c r="B11" s="2" t="s">
        <v>276</v>
      </c>
      <c r="C11" s="32" t="n">
        <f aca="false">Tasas!$C$10-Tasas!$C$9</f>
        <v>0.0778370098039216</v>
      </c>
      <c r="D11" s="2" t="s">
        <v>277</v>
      </c>
    </row>
    <row r="12" customFormat="false" ht="15" hidden="false" customHeight="false" outlineLevel="0" collapsed="false">
      <c r="A12" s="7" t="s">
        <v>278</v>
      </c>
      <c r="B12" s="2" t="s">
        <v>75</v>
      </c>
      <c r="C12" s="32" t="n">
        <f aca="false">Supuestos!$C$6+Supuestos!$C$8+Supuestos!$C$6*Supuestos!$C$8</f>
        <v>0.1832</v>
      </c>
      <c r="D12" s="2" t="s">
        <v>279</v>
      </c>
    </row>
    <row r="13" customFormat="false" ht="15" hidden="false" customHeight="false" outlineLevel="0" collapsed="false">
      <c r="A13" s="7" t="s">
        <v>26</v>
      </c>
      <c r="B13" s="2" t="s">
        <v>280</v>
      </c>
      <c r="C13" s="32" t="n">
        <f aca="false">Supuestos!$C$6/(1-Supuestos!$C$7)</f>
        <v>0.226950354609929</v>
      </c>
      <c r="D13" s="2" t="s">
        <v>281</v>
      </c>
    </row>
    <row r="14" customFormat="false" ht="15" hidden="false" customHeight="false" outlineLevel="0" collapsed="false">
      <c r="A14" s="7" t="s">
        <v>282</v>
      </c>
      <c r="B14" s="2" t="s">
        <v>283</v>
      </c>
      <c r="C14" s="32" t="n">
        <f aca="false">(Supuestos!$C$76-Supuestos!$C$8)/(1+Supuestos!$C$8)</f>
        <v>0.122549019607843</v>
      </c>
      <c r="D14" s="2" t="s">
        <v>284</v>
      </c>
    </row>
    <row r="16" customFormat="false" ht="15" hidden="false" customHeight="false" outlineLevel="0" collapsed="false">
      <c r="A16" s="7" t="s">
        <v>285</v>
      </c>
      <c r="C16" s="4" t="str">
        <f aca="false">IF(Tasas!$C$10&gt;=Tasas!$C$9,"Cumple","No cumple")</f>
        <v>Cumple</v>
      </c>
    </row>
    <row r="18" customFormat="false" ht="15" hidden="false" customHeight="false" outlineLevel="0" collapsed="false">
      <c r="A18" s="2" t="s">
        <v>286</v>
      </c>
    </row>
    <row r="19" customFormat="false" ht="15" hidden="false" customHeight="false" outlineLevel="0" collapsed="false">
      <c r="A19" s="2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288</v>
      </c>
    </row>
    <row r="2" customFormat="false" ht="15" hidden="false" customHeight="false" outlineLevel="0" collapsed="false">
      <c r="A2" s="2" t="s">
        <v>289</v>
      </c>
    </row>
    <row r="4" customFormat="false" ht="26.85" hidden="false" customHeight="false" outlineLevel="0" collapsed="false">
      <c r="A4" s="3" t="s">
        <v>290</v>
      </c>
      <c r="B4" s="3" t="s">
        <v>291</v>
      </c>
      <c r="C4" s="3" t="s">
        <v>292</v>
      </c>
    </row>
    <row r="5" customFormat="false" ht="15" hidden="false" customHeight="false" outlineLevel="0" collapsed="false">
      <c r="A5" s="34" t="n">
        <v>0</v>
      </c>
      <c r="B5" s="35" t="n">
        <f aca="false">1/(1+Supuestos!$C$6)^A5</f>
        <v>1</v>
      </c>
      <c r="C5" s="35" t="n">
        <f aca="false">(1+Supuestos!$C$6)^A5</f>
        <v>1</v>
      </c>
    </row>
    <row r="6" customFormat="false" ht="15" hidden="false" customHeight="false" outlineLevel="0" collapsed="false">
      <c r="A6" s="34" t="n">
        <v>1</v>
      </c>
      <c r="B6" s="35" t="n">
        <f aca="false">1/(1+Supuestos!$C$6)^A6</f>
        <v>0.862068965517241</v>
      </c>
      <c r="C6" s="35" t="n">
        <f aca="false">(1+Supuestos!$C$6)^A6</f>
        <v>1.16</v>
      </c>
    </row>
    <row r="7" customFormat="false" ht="15" hidden="false" customHeight="false" outlineLevel="0" collapsed="false">
      <c r="A7" s="34" t="n">
        <v>2</v>
      </c>
      <c r="B7" s="35" t="n">
        <f aca="false">1/(1+Supuestos!$C$6)^A7</f>
        <v>0.743162901307967</v>
      </c>
      <c r="C7" s="35" t="n">
        <f aca="false">(1+Supuestos!$C$6)^A7</f>
        <v>1.3456</v>
      </c>
    </row>
    <row r="8" customFormat="false" ht="15" hidden="false" customHeight="false" outlineLevel="0" collapsed="false">
      <c r="A8" s="34" t="n">
        <v>3</v>
      </c>
      <c r="B8" s="35" t="n">
        <f aca="false">1/(1+Supuestos!$C$6)^A8</f>
        <v>0.640657673541351</v>
      </c>
      <c r="C8" s="35" t="n">
        <f aca="false">(1+Supuestos!$C$6)^A8</f>
        <v>1.560896</v>
      </c>
    </row>
    <row r="9" customFormat="false" ht="15" hidden="false" customHeight="false" outlineLevel="0" collapsed="false">
      <c r="A9" s="34" t="n">
        <v>4</v>
      </c>
      <c r="B9" s="35" t="n">
        <f aca="false">1/(1+Supuestos!$C$6)^A9</f>
        <v>0.552291097880475</v>
      </c>
      <c r="C9" s="35" t="n">
        <f aca="false">(1+Supuestos!$C$6)^A9</f>
        <v>1.81063936</v>
      </c>
    </row>
    <row r="10" customFormat="false" ht="15" hidden="false" customHeight="false" outlineLevel="0" collapsed="false">
      <c r="A10" s="34" t="n">
        <v>5</v>
      </c>
      <c r="B10" s="35" t="n">
        <f aca="false">1/(1+Supuestos!$C$6)^A10</f>
        <v>0.476113015414203</v>
      </c>
      <c r="C10" s="35" t="n">
        <f aca="false">(1+Supuestos!$C$6)^A10</f>
        <v>2.1003416576</v>
      </c>
    </row>
    <row r="12" customFormat="false" ht="15" hidden="false" customHeight="false" outlineLevel="0" collapsed="false">
      <c r="A12" s="3" t="s">
        <v>293</v>
      </c>
      <c r="B12" s="3" t="s">
        <v>264</v>
      </c>
      <c r="C12" s="3" t="s">
        <v>19</v>
      </c>
    </row>
    <row r="13" customFormat="false" ht="15" hidden="false" customHeight="false" outlineLevel="0" collapsed="false">
      <c r="A13" s="7" t="s">
        <v>294</v>
      </c>
      <c r="B13" s="2" t="s">
        <v>295</v>
      </c>
      <c r="C13" s="35" t="n">
        <f aca="false">((1+Supuestos!$C$6)^Supuestos!$C$10-1)/(Supuestos!$C$6*(1+Supuestos!$C$6)^Supuestos!$C$10)</f>
        <v>3.27429365366123</v>
      </c>
    </row>
    <row r="14" customFormat="false" ht="15" hidden="false" customHeight="false" outlineLevel="0" collapsed="false">
      <c r="A14" s="7" t="s">
        <v>296</v>
      </c>
      <c r="B14" s="2" t="s">
        <v>297</v>
      </c>
      <c r="C14" s="35" t="n">
        <f aca="false">(Supuestos!$C$6*(1+Supuestos!$C$6)^Supuestos!$C$10)/((1+Supuestos!$C$6)^Supuestos!$C$10-1)</f>
        <v>0.305409381617872</v>
      </c>
    </row>
    <row r="15" customFormat="false" ht="15" hidden="false" customHeight="false" outlineLevel="0" collapsed="false">
      <c r="A15" s="7" t="s">
        <v>298</v>
      </c>
      <c r="B15" s="2" t="s">
        <v>299</v>
      </c>
      <c r="C15" s="35" t="n">
        <f aca="false">Supuestos!$C$6/((1+Supuestos!$C$6)^Supuestos!$C$10-1)</f>
        <v>0.145409381617872</v>
      </c>
    </row>
    <row r="16" customFormat="false" ht="15" hidden="false" customHeight="false" outlineLevel="0" collapsed="false">
      <c r="A16" s="7" t="s">
        <v>300</v>
      </c>
      <c r="B16" s="2" t="s">
        <v>301</v>
      </c>
      <c r="C16" s="35" t="n">
        <f aca="false">((1+Supuestos!$C$6)^Supuestos!$C$10-1)/Supuestos!$C$6</f>
        <v>6.87713535999999</v>
      </c>
    </row>
    <row r="17" customFormat="false" ht="15" hidden="false" customHeight="false" outlineLevel="0" collapsed="false">
      <c r="A17" s="7" t="s">
        <v>302</v>
      </c>
      <c r="B17" s="2" t="s">
        <v>303</v>
      </c>
      <c r="C17" s="35" t="n">
        <f aca="false">(Tasas!$C$5*(1+Tasas!$C$5)^Supuestos!$C$77)/((1+Tasas!$C$5)^Supuestos!$C$77-1)</f>
        <v>0.0339919755886059</v>
      </c>
    </row>
    <row r="19" customFormat="false" ht="15" hidden="false" customHeight="false" outlineLevel="0" collapsed="false">
      <c r="A19" s="2" t="s">
        <v>304</v>
      </c>
    </row>
    <row r="21" customFormat="false" ht="26.85" hidden="false" customHeight="false" outlineLevel="0" collapsed="false">
      <c r="A21" s="3" t="s">
        <v>305</v>
      </c>
      <c r="B21" s="3" t="s">
        <v>264</v>
      </c>
      <c r="C21" s="3" t="s">
        <v>19</v>
      </c>
    </row>
    <row r="22" customFormat="false" ht="15" hidden="false" customHeight="false" outlineLevel="0" collapsed="false">
      <c r="A22" s="7" t="s">
        <v>306</v>
      </c>
      <c r="B22" s="2" t="s">
        <v>307</v>
      </c>
      <c r="C22" s="27" t="n">
        <f aca="false">Supuestos!$C$44*(1+Supuestos!$D$81)</f>
        <v>589410</v>
      </c>
    </row>
    <row r="23" customFormat="false" ht="15" hidden="false" customHeight="false" outlineLevel="0" collapsed="false">
      <c r="A23" s="7" t="s">
        <v>308</v>
      </c>
      <c r="B23" s="2" t="s">
        <v>309</v>
      </c>
      <c r="C23" s="35" t="n">
        <f aca="false">IF(Supuestos!$D$81=Supuestos!$C$6,Supuestos!$C$10/(1+Supuestos!$C$6),(1-((1+Supuestos!$D$81)/(1+Supuestos!$C$6))^Supuestos!$C$10)/(Supuestos!$C$6-Supuestos!$D$81))</f>
        <v>4.46156220636395</v>
      </c>
    </row>
    <row r="24" customFormat="false" ht="15" hidden="false" customHeight="false" outlineLevel="0" collapsed="false">
      <c r="A24" s="7" t="s">
        <v>310</v>
      </c>
      <c r="B24" s="2" t="s">
        <v>311</v>
      </c>
      <c r="C24" s="27" t="n">
        <f aca="false">Factores!$C$22*Factores!$C$23</f>
        <v>2629689.38005297</v>
      </c>
    </row>
    <row r="25" customFormat="false" ht="15" hidden="false" customHeight="false" outlineLevel="0" collapsed="false">
      <c r="A25" s="7" t="s">
        <v>312</v>
      </c>
      <c r="B25" s="2" t="s">
        <v>313</v>
      </c>
      <c r="C25" s="27" t="n">
        <f aca="false">Supuestos!$C$44*Factores!$C$13</f>
        <v>1635509.68000379</v>
      </c>
    </row>
    <row r="26" customFormat="false" ht="15" hidden="false" customHeight="false" outlineLevel="0" collapsed="false">
      <c r="A26" s="7" t="s">
        <v>314</v>
      </c>
      <c r="B26" s="2" t="s">
        <v>315</v>
      </c>
      <c r="C26" s="6" t="n">
        <f aca="false">Factores!$C$24-Factores!$C$25</f>
        <v>994179.700049187</v>
      </c>
    </row>
    <row r="27" customFormat="false" ht="15" hidden="false" customHeight="false" outlineLevel="0" collapsed="false">
      <c r="A27" s="7" t="s">
        <v>316</v>
      </c>
      <c r="B27" s="2" t="s">
        <v>317</v>
      </c>
      <c r="C27" s="27" t="n">
        <f aca="false">SUMPRODUCT(Flujo_Base!C8:G8,Flujo_Base!C6:G6)</f>
        <v>994179.700049196</v>
      </c>
    </row>
    <row r="28" customFormat="false" ht="15" hidden="false" customHeight="false" outlineLevel="0" collapsed="false">
      <c r="A28" s="7" t="s">
        <v>318</v>
      </c>
      <c r="B28" s="2" t="s">
        <v>319</v>
      </c>
      <c r="C28" s="27" t="n">
        <f aca="false">Factores!$C$26-Factores!$C$27</f>
        <v>-9.31322574615479E-009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320</v>
      </c>
    </row>
    <row r="3" customFormat="false" ht="26.85" hidden="false" customHeight="false" outlineLevel="0" collapsed="false">
      <c r="A3" s="3" t="s">
        <v>321</v>
      </c>
      <c r="B3" s="3" t="s">
        <v>167</v>
      </c>
      <c r="C3" s="3" t="s">
        <v>322</v>
      </c>
      <c r="D3" s="3" t="s">
        <v>323</v>
      </c>
    </row>
    <row r="4" customFormat="false" ht="15" hidden="false" customHeight="false" outlineLevel="0" collapsed="false">
      <c r="A4" s="7" t="s">
        <v>166</v>
      </c>
      <c r="B4" s="13" t="n">
        <f aca="false">Supuestos!$C$20</f>
        <v>28.5</v>
      </c>
      <c r="C4" s="23" t="n">
        <f aca="false">B4/$B$11</f>
        <v>0.575757575757576</v>
      </c>
      <c r="D4" s="21" t="n">
        <v>0.52</v>
      </c>
    </row>
    <row r="5" customFormat="false" ht="15" hidden="false" customHeight="false" outlineLevel="0" collapsed="false">
      <c r="A5" s="7" t="s">
        <v>169</v>
      </c>
      <c r="B5" s="13" t="n">
        <f aca="false">Supuestos!$C$21</f>
        <v>5.2</v>
      </c>
      <c r="C5" s="23" t="n">
        <f aca="false">B5/$B$11</f>
        <v>0.105050505050505</v>
      </c>
      <c r="D5" s="21" t="n">
        <v>0.095</v>
      </c>
    </row>
    <row r="6" customFormat="false" ht="15" hidden="false" customHeight="false" outlineLevel="0" collapsed="false">
      <c r="A6" s="7" t="s">
        <v>170</v>
      </c>
      <c r="B6" s="13" t="n">
        <f aca="false">Supuestos!$C$22</f>
        <v>3.8</v>
      </c>
      <c r="C6" s="23" t="n">
        <f aca="false">B6/$B$11</f>
        <v>0.0767676767676768</v>
      </c>
      <c r="D6" s="21" t="n">
        <v>0.07</v>
      </c>
    </row>
    <row r="7" customFormat="false" ht="15" hidden="false" customHeight="false" outlineLevel="0" collapsed="false">
      <c r="A7" s="7" t="s">
        <v>171</v>
      </c>
      <c r="B7" s="13" t="n">
        <f aca="false">Supuestos!$C$23</f>
        <v>2.1</v>
      </c>
      <c r="C7" s="23" t="n">
        <f aca="false">B7/$B$11</f>
        <v>0.0424242424242424</v>
      </c>
      <c r="D7" s="21" t="n">
        <v>0.038</v>
      </c>
    </row>
    <row r="8" customFormat="false" ht="15" hidden="false" customHeight="false" outlineLevel="0" collapsed="false">
      <c r="A8" s="7" t="s">
        <v>172</v>
      </c>
      <c r="B8" s="13" t="n">
        <f aca="false">Supuestos!$C$24</f>
        <v>4.9</v>
      </c>
      <c r="C8" s="23" t="n">
        <f aca="false">B8/$B$11</f>
        <v>0.098989898989899</v>
      </c>
      <c r="D8" s="21" t="n">
        <v>0.09</v>
      </c>
    </row>
    <row r="9" customFormat="false" ht="15" hidden="false" customHeight="false" outlineLevel="0" collapsed="false">
      <c r="A9" s="7" t="s">
        <v>173</v>
      </c>
      <c r="B9" s="13" t="n">
        <f aca="false">Supuestos!$C$25</f>
        <v>1.4</v>
      </c>
      <c r="C9" s="23" t="n">
        <f aca="false">B9/$B$11</f>
        <v>0.0282828282828283</v>
      </c>
      <c r="D9" s="21" t="n">
        <v>0.025</v>
      </c>
    </row>
    <row r="10" customFormat="false" ht="15" hidden="false" customHeight="false" outlineLevel="0" collapsed="false">
      <c r="A10" s="7" t="s">
        <v>174</v>
      </c>
      <c r="B10" s="13" t="n">
        <f aca="false">Supuestos!$C$26</f>
        <v>3.6</v>
      </c>
      <c r="C10" s="23" t="n">
        <f aca="false">B10/$B$11</f>
        <v>0.0727272727272727</v>
      </c>
      <c r="D10" s="21" t="n">
        <v>0.066</v>
      </c>
    </row>
    <row r="11" customFormat="false" ht="15" hidden="false" customHeight="false" outlineLevel="0" collapsed="false">
      <c r="A11" s="4" t="s">
        <v>324</v>
      </c>
      <c r="B11" s="36" t="n">
        <f aca="false">SUM(B4:B10)</f>
        <v>49.5</v>
      </c>
      <c r="C11" s="37" t="n">
        <f aca="false">SUM(C4:C10)</f>
        <v>1</v>
      </c>
      <c r="D11" s="37" t="n">
        <f aca="false">SUM(D4:D10)</f>
        <v>0.904</v>
      </c>
    </row>
    <row r="12" customFormat="false" ht="15" hidden="false" customHeight="false" outlineLevel="0" collapsed="false">
      <c r="A12" s="7" t="s">
        <v>325</v>
      </c>
      <c r="C12" s="23" t="n">
        <f aca="false">C4+C5</f>
        <v>0.680808080808081</v>
      </c>
      <c r="D12" s="23" t="n">
        <f aca="false">D4+D5</f>
        <v>0.615</v>
      </c>
    </row>
    <row r="13" customFormat="false" ht="15" hidden="false" customHeight="false" outlineLevel="0" collapsed="false">
      <c r="A13" s="2" t="s">
        <v>326</v>
      </c>
    </row>
    <row r="14" customFormat="false" ht="26.85" hidden="false" customHeight="false" outlineLevel="0" collapsed="false">
      <c r="A14" s="3" t="s">
        <v>327</v>
      </c>
      <c r="B14" s="3" t="s">
        <v>328</v>
      </c>
      <c r="C14" s="3" t="s">
        <v>329</v>
      </c>
      <c r="D14" s="3" t="s">
        <v>330</v>
      </c>
      <c r="E14" s="3" t="s">
        <v>331</v>
      </c>
      <c r="F14" s="3" t="s">
        <v>332</v>
      </c>
      <c r="G14" s="3" t="s">
        <v>333</v>
      </c>
      <c r="H14" s="3" t="s">
        <v>334</v>
      </c>
      <c r="I14" s="3" t="s">
        <v>335</v>
      </c>
      <c r="J14" s="3" t="s">
        <v>336</v>
      </c>
    </row>
    <row r="15" customFormat="false" ht="15" hidden="false" customHeight="false" outlineLevel="0" collapsed="false">
      <c r="A15" s="7" t="s">
        <v>337</v>
      </c>
      <c r="B15" s="13" t="n">
        <f aca="false">Supuestos!$C$30</f>
        <v>180</v>
      </c>
      <c r="C15" s="13" t="n">
        <f aca="false">Supuestos!$C$27</f>
        <v>49.5</v>
      </c>
      <c r="D15" s="13" t="n">
        <f aca="false">0</f>
        <v>0</v>
      </c>
      <c r="E15" s="25" t="n">
        <f aca="false">0</f>
        <v>0</v>
      </c>
      <c r="F15" s="13" t="n">
        <f aca="false">0</f>
        <v>0</v>
      </c>
      <c r="G15" s="25" t="n">
        <f aca="false">0</f>
        <v>0</v>
      </c>
      <c r="H15" s="25" t="n">
        <f aca="false">SUM(C15:G15)</f>
        <v>49.5</v>
      </c>
      <c r="I15" s="36" t="n">
        <f aca="false">B15-H15</f>
        <v>130.5</v>
      </c>
      <c r="J15" s="37" t="n">
        <f aca="false">I15/B15</f>
        <v>0.725</v>
      </c>
    </row>
    <row r="16" customFormat="false" ht="15" hidden="false" customHeight="false" outlineLevel="0" collapsed="false">
      <c r="A16" s="7" t="s">
        <v>338</v>
      </c>
      <c r="B16" s="13" t="n">
        <f aca="false">Supuestos!$C$31</f>
        <v>166</v>
      </c>
      <c r="C16" s="13" t="n">
        <f aca="false">Supuestos!$C$27</f>
        <v>49.5</v>
      </c>
      <c r="D16" s="13" t="n">
        <f aca="false">Supuestos!$C$32</f>
        <v>28</v>
      </c>
      <c r="E16" s="25" t="n">
        <f aca="false">Supuestos!$C$33*B16</f>
        <v>4.98</v>
      </c>
      <c r="F16" s="13" t="n">
        <f aca="false">Supuestos!$C$34</f>
        <v>4.5</v>
      </c>
      <c r="G16" s="25" t="n">
        <f aca="false">0</f>
        <v>0</v>
      </c>
      <c r="H16" s="25" t="n">
        <f aca="false">SUM(C16:G16)</f>
        <v>86.98</v>
      </c>
      <c r="I16" s="36" t="n">
        <f aca="false">B16-H16</f>
        <v>79.02</v>
      </c>
      <c r="J16" s="37" t="n">
        <f aca="false">I16/B16</f>
        <v>0.476024096385542</v>
      </c>
    </row>
    <row r="17" customFormat="false" ht="15" hidden="false" customHeight="false" outlineLevel="0" collapsed="false">
      <c r="A17" s="7" t="s">
        <v>339</v>
      </c>
      <c r="B17" s="13" t="n">
        <f aca="false">Supuestos!$C$35</f>
        <v>102.5</v>
      </c>
      <c r="C17" s="13" t="n">
        <f aca="false">Supuestos!$C$27</f>
        <v>49.5</v>
      </c>
      <c r="D17" s="13" t="n">
        <f aca="false">0</f>
        <v>0</v>
      </c>
      <c r="E17" s="25" t="n">
        <f aca="false">0</f>
        <v>0</v>
      </c>
      <c r="F17" s="13" t="n">
        <f aca="false">0</f>
        <v>0</v>
      </c>
      <c r="G17" s="25" t="n">
        <f aca="false">Supuestos!$C$36*B17</f>
        <v>20.5</v>
      </c>
      <c r="H17" s="25" t="n">
        <f aca="false">SUM(C17:G17)</f>
        <v>70</v>
      </c>
      <c r="I17" s="36" t="n">
        <f aca="false">B17-H17</f>
        <v>32.5</v>
      </c>
      <c r="J17" s="37" t="n">
        <f aca="false">I17/B17</f>
        <v>0.317073170731707</v>
      </c>
    </row>
    <row r="18" customFormat="false" ht="15" hidden="false" customHeight="false" outlineLevel="0" collapsed="false">
      <c r="A18" s="2" t="s">
        <v>340</v>
      </c>
    </row>
    <row r="20" customFormat="false" ht="26.85" hidden="false" customHeight="false" outlineLevel="0" collapsed="false">
      <c r="A20" s="3" t="s">
        <v>327</v>
      </c>
      <c r="B20" s="3" t="s">
        <v>341</v>
      </c>
      <c r="C20" s="3" t="s">
        <v>342</v>
      </c>
      <c r="D20" s="3" t="s">
        <v>343</v>
      </c>
    </row>
    <row r="21" customFormat="false" ht="15" hidden="false" customHeight="false" outlineLevel="0" collapsed="false">
      <c r="A21" s="7" t="s">
        <v>344</v>
      </c>
      <c r="B21" s="5" t="n">
        <f aca="false">Supuestos!$C$43*Supuestos!$C$46</f>
        <v>858400</v>
      </c>
      <c r="C21" s="25" t="n">
        <f aca="false">B15</f>
        <v>180</v>
      </c>
      <c r="D21" s="27" t="n">
        <f aca="false">B21/C21</f>
        <v>4768.88888888889</v>
      </c>
    </row>
    <row r="22" customFormat="false" ht="15" hidden="false" customHeight="false" outlineLevel="0" collapsed="false">
      <c r="A22" s="7" t="s">
        <v>338</v>
      </c>
      <c r="B22" s="5" t="n">
        <f aca="false">Supuestos!$C$44</f>
        <v>499500</v>
      </c>
      <c r="C22" s="25" t="n">
        <f aca="false">B16</f>
        <v>166</v>
      </c>
      <c r="D22" s="27" t="n">
        <f aca="false">B22/C22</f>
        <v>3009.03614457831</v>
      </c>
    </row>
    <row r="23" customFormat="false" ht="15" hidden="false" customHeight="false" outlineLevel="0" collapsed="false">
      <c r="A23" s="7" t="s">
        <v>339</v>
      </c>
      <c r="B23" s="5" t="n">
        <f aca="false">Supuestos!$C$45</f>
        <v>277500</v>
      </c>
      <c r="C23" s="25" t="n">
        <f aca="false">B17</f>
        <v>102.5</v>
      </c>
      <c r="D23" s="27" t="n">
        <f aca="false">B23/C23</f>
        <v>2707.31707317073</v>
      </c>
    </row>
    <row r="24" customFormat="false" ht="15" hidden="false" customHeight="false" outlineLevel="0" collapsed="false">
      <c r="A24" s="4" t="s">
        <v>345</v>
      </c>
      <c r="B24" s="6" t="n">
        <f aca="false">SUM(B21:B23)</f>
        <v>1635400</v>
      </c>
      <c r="D24" s="6" t="n">
        <f aca="false">SUM(D21:D23)</f>
        <v>10485.2421066379</v>
      </c>
    </row>
    <row r="26" customFormat="false" ht="15" hidden="false" customHeight="false" outlineLevel="0" collapsed="false">
      <c r="A26" s="7" t="s">
        <v>346</v>
      </c>
      <c r="B26" s="27" t="n">
        <f aca="false">Supuestos!$C$47*Supuestos!$C$49</f>
        <v>24000</v>
      </c>
    </row>
    <row r="27" customFormat="false" ht="15" hidden="false" customHeight="false" outlineLevel="0" collapsed="false">
      <c r="A27" s="7" t="s">
        <v>65</v>
      </c>
      <c r="B27" s="23" t="n">
        <f aca="false">D24/B26</f>
        <v>0.436885087776581</v>
      </c>
    </row>
    <row r="28" customFormat="false" ht="15" hidden="false" customHeight="false" outlineLevel="0" collapsed="false">
      <c r="A28" s="7" t="s">
        <v>347</v>
      </c>
      <c r="B28" s="27" t="n">
        <f aca="false">Supuestos!$C$48*Supuestos!$C$49</f>
        <v>75000</v>
      </c>
    </row>
    <row r="29" customFormat="false" ht="15" hidden="false" customHeight="false" outlineLevel="0" collapsed="false">
      <c r="A29" s="7" t="s">
        <v>348</v>
      </c>
      <c r="B29" s="38" t="n">
        <f aca="false">B28/D24</f>
        <v>7.15291065644726</v>
      </c>
    </row>
    <row r="31" customFormat="false" ht="26.85" hidden="false" customHeight="false" outlineLevel="0" collapsed="false">
      <c r="A31" s="3" t="s">
        <v>349</v>
      </c>
      <c r="B31" s="3" t="s">
        <v>350</v>
      </c>
      <c r="C31" s="3" t="s">
        <v>351</v>
      </c>
      <c r="D31" s="3" t="s">
        <v>352</v>
      </c>
      <c r="E31" s="3" t="s">
        <v>353</v>
      </c>
      <c r="F31" s="3" t="s">
        <v>354</v>
      </c>
    </row>
    <row r="32" customFormat="false" ht="15" hidden="false" customHeight="false" outlineLevel="0" collapsed="false">
      <c r="A32" s="7" t="s">
        <v>355</v>
      </c>
      <c r="B32" s="13" t="n">
        <f aca="false">Supuestos!$C$27</f>
        <v>49.5</v>
      </c>
      <c r="C32" s="27" t="n">
        <f aca="false">D24</f>
        <v>10485.2421066379</v>
      </c>
      <c r="D32" s="6" t="n">
        <f aca="false">B32*C32</f>
        <v>519019.484278578</v>
      </c>
      <c r="E32" s="27" t="n">
        <f aca="false">D32*(1-0.2)</f>
        <v>415215.587422862</v>
      </c>
      <c r="F32" s="27" t="n">
        <f aca="false">D32*(1+0.2)</f>
        <v>622823.381134293</v>
      </c>
    </row>
    <row r="33" customFormat="false" ht="15" hidden="false" customHeight="false" outlineLevel="0" collapsed="false">
      <c r="A33" s="7" t="s">
        <v>356</v>
      </c>
      <c r="B33" s="13" t="n">
        <f aca="false">Supuestos!$C$27</f>
        <v>49.5</v>
      </c>
      <c r="C33" s="5" t="n">
        <f aca="false">Flujo_Base!G9</f>
        <v>15984.5419862127</v>
      </c>
      <c r="D33" s="6" t="n">
        <f aca="false">B33*C33</f>
        <v>791234.828317527</v>
      </c>
      <c r="E33" s="27" t="n">
        <f aca="false">D33*(1-0.2)</f>
        <v>632987.862654022</v>
      </c>
      <c r="F33" s="27" t="n">
        <f aca="false">D33*(1+0.2)</f>
        <v>949481.793981032</v>
      </c>
    </row>
    <row r="34" customFormat="false" ht="15" hidden="false" customHeight="false" outlineLevel="0" collapsed="false">
      <c r="A34" s="2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" t="s">
        <v>358</v>
      </c>
    </row>
    <row r="2" customFormat="false" ht="15" hidden="false" customHeight="false" outlineLevel="0" collapsed="false">
      <c r="A2" s="2" t="s">
        <v>359</v>
      </c>
    </row>
    <row r="3" customFormat="false" ht="15" hidden="false" customHeight="false" outlineLevel="0" collapsed="false">
      <c r="C3" s="4" t="s">
        <v>360</v>
      </c>
      <c r="I3" s="4" t="s">
        <v>361</v>
      </c>
    </row>
    <row r="4" customFormat="false" ht="26.85" hidden="false" customHeight="false" outlineLevel="0" collapsed="false">
      <c r="A4" s="3" t="s">
        <v>362</v>
      </c>
      <c r="B4" s="3" t="s">
        <v>363</v>
      </c>
      <c r="C4" s="3" t="s">
        <v>364</v>
      </c>
      <c r="D4" s="3" t="s">
        <v>365</v>
      </c>
      <c r="E4" s="3" t="s">
        <v>366</v>
      </c>
      <c r="F4" s="3" t="s">
        <v>367</v>
      </c>
      <c r="G4" s="3" t="s">
        <v>368</v>
      </c>
      <c r="H4" s="3"/>
      <c r="I4" s="3" t="s">
        <v>364</v>
      </c>
      <c r="J4" s="3" t="s">
        <v>365</v>
      </c>
      <c r="K4" s="3" t="s">
        <v>366</v>
      </c>
      <c r="L4" s="3" t="s">
        <v>367</v>
      </c>
      <c r="M4" s="3" t="s">
        <v>368</v>
      </c>
    </row>
    <row r="5" customFormat="false" ht="15" hidden="false" customHeight="false" outlineLevel="0" collapsed="false">
      <c r="A5" s="34" t="n">
        <v>1</v>
      </c>
      <c r="B5" s="34" t="n">
        <f aca="false">ROUNDUP(A5/12,0)</f>
        <v>1</v>
      </c>
      <c r="C5" s="5" t="n">
        <f aca="false">Supuestos!$C$74</f>
        <v>480000</v>
      </c>
      <c r="D5" s="27" t="n">
        <f aca="false">C5*Tasas!$C$5</f>
        <v>5446.85809829911</v>
      </c>
      <c r="E5" s="27" t="n">
        <f aca="false">F5-D5</f>
        <v>10869.2901842317</v>
      </c>
      <c r="F5" s="27" t="n">
        <f aca="false">Supuestos!$C$74*Factores!$C$17</f>
        <v>16316.1482825308</v>
      </c>
      <c r="G5" s="27" t="n">
        <f aca="false">C5-E5</f>
        <v>469130.709815768</v>
      </c>
      <c r="I5" s="5" t="n">
        <f aca="false">Supuestos!$C$75</f>
        <v>260000</v>
      </c>
      <c r="J5" s="27" t="n">
        <f aca="false">I5*Tasas!$C$5</f>
        <v>2950.38146991202</v>
      </c>
      <c r="K5" s="27" t="n">
        <f aca="false">L5-J5</f>
        <v>5887.53218312552</v>
      </c>
      <c r="L5" s="27" t="n">
        <f aca="false">Supuestos!$C$75*Factores!$C$17</f>
        <v>8837.91365303753</v>
      </c>
      <c r="M5" s="27" t="n">
        <f aca="false">I5-K5</f>
        <v>254112.467816874</v>
      </c>
    </row>
    <row r="6" customFormat="false" ht="15" hidden="false" customHeight="false" outlineLevel="0" collapsed="false">
      <c r="A6" s="34" t="n">
        <v>2</v>
      </c>
      <c r="B6" s="34" t="n">
        <f aca="false">ROUNDUP(A6/12,0)</f>
        <v>1</v>
      </c>
      <c r="C6" s="27" t="n">
        <f aca="false">G5</f>
        <v>469130.709815768</v>
      </c>
      <c r="D6" s="27" t="n">
        <f aca="false">C6*Tasas!$C$5</f>
        <v>5323.51751233506</v>
      </c>
      <c r="E6" s="27" t="n">
        <f aca="false">F6-D6</f>
        <v>10992.6307701958</v>
      </c>
      <c r="F6" s="27" t="n">
        <f aca="false">Supuestos!$C$74*Factores!$C$17</f>
        <v>16316.1482825308</v>
      </c>
      <c r="G6" s="27" t="n">
        <f aca="false">C6-E6</f>
        <v>458138.079045573</v>
      </c>
      <c r="I6" s="27" t="n">
        <f aca="false">M5</f>
        <v>254112.467816874</v>
      </c>
      <c r="J6" s="27" t="n">
        <f aca="false">I6*Tasas!$C$5</f>
        <v>2883.57198584816</v>
      </c>
      <c r="K6" s="27" t="n">
        <f aca="false">L6-J6</f>
        <v>5954.34166718938</v>
      </c>
      <c r="L6" s="27" t="n">
        <f aca="false">Supuestos!$C$75*Factores!$C$17</f>
        <v>8837.91365303753</v>
      </c>
      <c r="M6" s="27" t="n">
        <f aca="false">I6-K6</f>
        <v>248158.126149685</v>
      </c>
    </row>
    <row r="7" customFormat="false" ht="15" hidden="false" customHeight="false" outlineLevel="0" collapsed="false">
      <c r="A7" s="34" t="n">
        <v>3</v>
      </c>
      <c r="B7" s="34" t="n">
        <f aca="false">ROUNDUP(A7/12,0)</f>
        <v>1</v>
      </c>
      <c r="C7" s="27" t="n">
        <f aca="false">G6</f>
        <v>458138.079045573</v>
      </c>
      <c r="D7" s="27" t="n">
        <f aca="false">C7*Tasas!$C$5</f>
        <v>5198.77730414286</v>
      </c>
      <c r="E7" s="27" t="n">
        <f aca="false">F7-D7</f>
        <v>11117.370978388</v>
      </c>
      <c r="F7" s="27" t="n">
        <f aca="false">Supuestos!$C$74*Factores!$C$17</f>
        <v>16316.1482825308</v>
      </c>
      <c r="G7" s="27" t="n">
        <f aca="false">C7-E7</f>
        <v>447020.708067185</v>
      </c>
      <c r="I7" s="27" t="n">
        <f aca="false">M6</f>
        <v>248158.126149685</v>
      </c>
      <c r="J7" s="27" t="n">
        <f aca="false">I7*Tasas!$C$5</f>
        <v>2816.00437307738</v>
      </c>
      <c r="K7" s="27" t="n">
        <f aca="false">L7-J7</f>
        <v>6021.90927996015</v>
      </c>
      <c r="L7" s="27" t="n">
        <f aca="false">Supuestos!$C$75*Factores!$C$17</f>
        <v>8837.91365303753</v>
      </c>
      <c r="M7" s="27" t="n">
        <f aca="false">I7-K7</f>
        <v>242136.216869725</v>
      </c>
    </row>
    <row r="8" customFormat="false" ht="15" hidden="false" customHeight="false" outlineLevel="0" collapsed="false">
      <c r="A8" s="34" t="n">
        <v>4</v>
      </c>
      <c r="B8" s="34" t="n">
        <f aca="false">ROUNDUP(A8/12,0)</f>
        <v>1</v>
      </c>
      <c r="C8" s="27" t="n">
        <f aca="false">G7</f>
        <v>447020.708067185</v>
      </c>
      <c r="D8" s="27" t="n">
        <f aca="false">C8*Tasas!$C$5</f>
        <v>5072.62159133989</v>
      </c>
      <c r="E8" s="27" t="n">
        <f aca="false">F8-D8</f>
        <v>11243.5266911909</v>
      </c>
      <c r="F8" s="27" t="n">
        <f aca="false">Supuestos!$C$74*Factores!$C$17</f>
        <v>16316.1482825308</v>
      </c>
      <c r="G8" s="27" t="n">
        <f aca="false">C8-E8</f>
        <v>435777.181375994</v>
      </c>
      <c r="I8" s="27" t="n">
        <f aca="false">M7</f>
        <v>242136.216869725</v>
      </c>
      <c r="J8" s="27" t="n">
        <f aca="false">I8*Tasas!$C$5</f>
        <v>2747.67002864244</v>
      </c>
      <c r="K8" s="27" t="n">
        <f aca="false">L8-J8</f>
        <v>6090.24362439509</v>
      </c>
      <c r="L8" s="27" t="n">
        <f aca="false">Supuestos!$C$75*Factores!$C$17</f>
        <v>8837.91365303753</v>
      </c>
      <c r="M8" s="27" t="n">
        <f aca="false">I8-K8</f>
        <v>236045.97324533</v>
      </c>
    </row>
    <row r="9" customFormat="false" ht="15" hidden="false" customHeight="false" outlineLevel="0" collapsed="false">
      <c r="A9" s="34" t="n">
        <v>5</v>
      </c>
      <c r="B9" s="34" t="n">
        <f aca="false">ROUNDUP(A9/12,0)</f>
        <v>1</v>
      </c>
      <c r="C9" s="27" t="n">
        <f aca="false">G8</f>
        <v>435777.181375994</v>
      </c>
      <c r="D9" s="27" t="n">
        <f aca="false">C9*Tasas!$C$5</f>
        <v>4945.03431131623</v>
      </c>
      <c r="E9" s="27" t="n">
        <f aca="false">F9-D9</f>
        <v>11371.1139712146</v>
      </c>
      <c r="F9" s="27" t="n">
        <f aca="false">Supuestos!$C$74*Factores!$C$17</f>
        <v>16316.1482825308</v>
      </c>
      <c r="G9" s="27" t="n">
        <f aca="false">C9-E9</f>
        <v>424406.067404779</v>
      </c>
      <c r="I9" s="27" t="n">
        <f aca="false">M8</f>
        <v>236045.97324533</v>
      </c>
      <c r="J9" s="27" t="n">
        <f aca="false">I9*Tasas!$C$5</f>
        <v>2678.56025196296</v>
      </c>
      <c r="K9" s="27" t="n">
        <f aca="false">L9-J9</f>
        <v>6159.35340107457</v>
      </c>
      <c r="L9" s="27" t="n">
        <f aca="false">Supuestos!$C$75*Factores!$C$17</f>
        <v>8837.91365303753</v>
      </c>
      <c r="M9" s="27" t="n">
        <f aca="false">I9-K9</f>
        <v>229886.619844255</v>
      </c>
    </row>
    <row r="10" customFormat="false" ht="15" hidden="false" customHeight="false" outlineLevel="0" collapsed="false">
      <c r="A10" s="34" t="n">
        <v>6</v>
      </c>
      <c r="B10" s="34" t="n">
        <f aca="false">ROUNDUP(A10/12,0)</f>
        <v>1</v>
      </c>
      <c r="C10" s="27" t="n">
        <f aca="false">G9</f>
        <v>424406.067404779</v>
      </c>
      <c r="D10" s="27" t="n">
        <f aca="false">C10*Tasas!$C$5</f>
        <v>4815.99921918958</v>
      </c>
      <c r="E10" s="27" t="n">
        <f aca="false">F10-D10</f>
        <v>11500.1490633412</v>
      </c>
      <c r="F10" s="27" t="n">
        <f aca="false">Supuestos!$C$74*Factores!$C$17</f>
        <v>16316.1482825308</v>
      </c>
      <c r="G10" s="27" t="n">
        <f aca="false">C10-E10</f>
        <v>412905.918341438</v>
      </c>
      <c r="I10" s="27" t="n">
        <f aca="false">M9</f>
        <v>229886.619844255</v>
      </c>
      <c r="J10" s="27" t="n">
        <f aca="false">I10*Tasas!$C$5</f>
        <v>2608.66624372769</v>
      </c>
      <c r="K10" s="27" t="n">
        <f aca="false">L10-J10</f>
        <v>6229.24740930984</v>
      </c>
      <c r="L10" s="27" t="n">
        <f aca="false">Supuestos!$C$75*Factores!$C$17</f>
        <v>8837.91365303753</v>
      </c>
      <c r="M10" s="27" t="n">
        <f aca="false">I10-K10</f>
        <v>223657.372434945</v>
      </c>
    </row>
    <row r="11" customFormat="false" ht="15" hidden="false" customHeight="false" outlineLevel="0" collapsed="false">
      <c r="A11" s="34" t="n">
        <v>7</v>
      </c>
      <c r="B11" s="34" t="n">
        <f aca="false">ROUNDUP(A11/12,0)</f>
        <v>1</v>
      </c>
      <c r="C11" s="27" t="n">
        <f aca="false">G10</f>
        <v>412905.918341438</v>
      </c>
      <c r="D11" s="27" t="n">
        <f aca="false">C11*Tasas!$C$5</f>
        <v>4685.49988573686</v>
      </c>
      <c r="E11" s="27" t="n">
        <f aca="false">F11-D11</f>
        <v>11630.648396794</v>
      </c>
      <c r="F11" s="27" t="n">
        <f aca="false">Supuestos!$C$74*Factores!$C$17</f>
        <v>16316.1482825308</v>
      </c>
      <c r="G11" s="27" t="n">
        <f aca="false">C11-E11</f>
        <v>401275.269944644</v>
      </c>
      <c r="I11" s="27" t="n">
        <f aca="false">M10</f>
        <v>223657.372434945</v>
      </c>
      <c r="J11" s="27" t="n">
        <f aca="false">I11*Tasas!$C$5</f>
        <v>2537.97910477413</v>
      </c>
      <c r="K11" s="27" t="n">
        <f aca="false">L11-J11</f>
        <v>6299.9345482634</v>
      </c>
      <c r="L11" s="27" t="n">
        <f aca="false">Supuestos!$C$75*Factores!$C$17</f>
        <v>8837.91365303753</v>
      </c>
      <c r="M11" s="27" t="n">
        <f aca="false">I11-K11</f>
        <v>217357.437886682</v>
      </c>
    </row>
    <row r="12" customFormat="false" ht="15" hidden="false" customHeight="false" outlineLevel="0" collapsed="false">
      <c r="A12" s="34" t="n">
        <v>8</v>
      </c>
      <c r="B12" s="34" t="n">
        <f aca="false">ROUNDUP(A12/12,0)</f>
        <v>1</v>
      </c>
      <c r="C12" s="27" t="n">
        <f aca="false">G11</f>
        <v>401275.269944644</v>
      </c>
      <c r="D12" s="27" t="n">
        <f aca="false">C12*Tasas!$C$5</f>
        <v>4553.51969530238</v>
      </c>
      <c r="E12" s="27" t="n">
        <f aca="false">F12-D12</f>
        <v>11762.6285872284</v>
      </c>
      <c r="F12" s="27" t="n">
        <f aca="false">Supuestos!$C$74*Factores!$C$17</f>
        <v>16316.1482825308</v>
      </c>
      <c r="G12" s="27" t="n">
        <f aca="false">C12-E12</f>
        <v>389512.641357415</v>
      </c>
      <c r="I12" s="27" t="n">
        <f aca="false">M11</f>
        <v>217357.437886682</v>
      </c>
      <c r="J12" s="27" t="n">
        <f aca="false">I12*Tasas!$C$5</f>
        <v>2466.48983495546</v>
      </c>
      <c r="K12" s="27" t="n">
        <f aca="false">L12-J12</f>
        <v>6371.42381808207</v>
      </c>
      <c r="L12" s="27" t="n">
        <f aca="false">Supuestos!$C$75*Factores!$C$17</f>
        <v>8837.91365303753</v>
      </c>
      <c r="M12" s="27" t="n">
        <f aca="false">I12-K12</f>
        <v>210986.0140686</v>
      </c>
    </row>
    <row r="13" customFormat="false" ht="15" hidden="false" customHeight="false" outlineLevel="0" collapsed="false">
      <c r="A13" s="34" t="n">
        <v>9</v>
      </c>
      <c r="B13" s="34" t="n">
        <f aca="false">ROUNDUP(A13/12,0)</f>
        <v>1</v>
      </c>
      <c r="C13" s="27" t="n">
        <f aca="false">G12</f>
        <v>389512.641357415</v>
      </c>
      <c r="D13" s="27" t="n">
        <f aca="false">C13*Tasas!$C$5</f>
        <v>4420.04184368232</v>
      </c>
      <c r="E13" s="27" t="n">
        <f aca="false">F13-D13</f>
        <v>11896.1064388485</v>
      </c>
      <c r="F13" s="27" t="n">
        <f aca="false">Supuestos!$C$74*Factores!$C$17</f>
        <v>16316.1482825308</v>
      </c>
      <c r="G13" s="27" t="n">
        <f aca="false">C13-E13</f>
        <v>377616.534918567</v>
      </c>
      <c r="I13" s="27" t="n">
        <f aca="false">M12</f>
        <v>210986.0140686</v>
      </c>
      <c r="J13" s="27" t="n">
        <f aca="false">I13*Tasas!$C$5</f>
        <v>2394.18933199459</v>
      </c>
      <c r="K13" s="27" t="n">
        <f aca="false">L13-J13</f>
        <v>6443.72432104294</v>
      </c>
      <c r="L13" s="27" t="n">
        <f aca="false">Supuestos!$C$75*Factores!$C$17</f>
        <v>8837.91365303753</v>
      </c>
      <c r="M13" s="27" t="n">
        <f aca="false">I13-K13</f>
        <v>204542.289747557</v>
      </c>
    </row>
    <row r="14" customFormat="false" ht="15" hidden="false" customHeight="false" outlineLevel="0" collapsed="false">
      <c r="A14" s="34" t="n">
        <v>10</v>
      </c>
      <c r="B14" s="34" t="n">
        <f aca="false">ROUNDUP(A14/12,0)</f>
        <v>1</v>
      </c>
      <c r="C14" s="27" t="n">
        <f aca="false">G13</f>
        <v>377616.534918567</v>
      </c>
      <c r="D14" s="27" t="n">
        <f aca="false">C14*Tasas!$C$5</f>
        <v>4285.04933598509</v>
      </c>
      <c r="E14" s="27" t="n">
        <f aca="false">F14-D14</f>
        <v>12031.0989465457</v>
      </c>
      <c r="F14" s="27" t="n">
        <f aca="false">Supuestos!$C$74*Factores!$C$17</f>
        <v>16316.1482825308</v>
      </c>
      <c r="G14" s="27" t="n">
        <f aca="false">C14-E14</f>
        <v>365585.435972021</v>
      </c>
      <c r="I14" s="27" t="n">
        <f aca="false">M13</f>
        <v>204542.289747557</v>
      </c>
      <c r="J14" s="27" t="n">
        <f aca="false">I14*Tasas!$C$5</f>
        <v>2321.06839032526</v>
      </c>
      <c r="K14" s="27" t="n">
        <f aca="false">L14-J14</f>
        <v>6516.84526271227</v>
      </c>
      <c r="L14" s="27" t="n">
        <f aca="false">Supuestos!$C$75*Factores!$C$17</f>
        <v>8837.91365303753</v>
      </c>
      <c r="M14" s="27" t="n">
        <f aca="false">I14-K14</f>
        <v>198025.444484845</v>
      </c>
    </row>
    <row r="15" customFormat="false" ht="15" hidden="false" customHeight="false" outlineLevel="0" collapsed="false">
      <c r="A15" s="34" t="n">
        <v>11</v>
      </c>
      <c r="B15" s="34" t="n">
        <f aca="false">ROUNDUP(A15/12,0)</f>
        <v>1</v>
      </c>
      <c r="C15" s="27" t="n">
        <f aca="false">G14</f>
        <v>365585.435972021</v>
      </c>
      <c r="D15" s="27" t="n">
        <f aca="false">C15*Tasas!$C$5</f>
        <v>4148.52498446753</v>
      </c>
      <c r="E15" s="27" t="n">
        <f aca="false">F15-D15</f>
        <v>12167.6232980633</v>
      </c>
      <c r="F15" s="27" t="n">
        <f aca="false">Supuestos!$C$74*Factores!$C$17</f>
        <v>16316.1482825308</v>
      </c>
      <c r="G15" s="27" t="n">
        <f aca="false">C15-E15</f>
        <v>353417.812673958</v>
      </c>
      <c r="I15" s="27" t="n">
        <f aca="false">M14</f>
        <v>198025.444484845</v>
      </c>
      <c r="J15" s="27" t="n">
        <f aca="false">I15*Tasas!$C$5</f>
        <v>2247.11769991991</v>
      </c>
      <c r="K15" s="27" t="n">
        <f aca="false">L15-J15</f>
        <v>6590.79595311762</v>
      </c>
      <c r="L15" s="27" t="n">
        <f aca="false">Supuestos!$C$75*Factores!$C$17</f>
        <v>8837.91365303753</v>
      </c>
      <c r="M15" s="27" t="n">
        <f aca="false">I15-K15</f>
        <v>191434.648531727</v>
      </c>
    </row>
    <row r="16" customFormat="false" ht="15" hidden="false" customHeight="false" outlineLevel="0" collapsed="false">
      <c r="A16" s="34" t="n">
        <v>12</v>
      </c>
      <c r="B16" s="34" t="n">
        <f aca="false">ROUNDUP(A16/12,0)</f>
        <v>1</v>
      </c>
      <c r="C16" s="27" t="n">
        <f aca="false">G15</f>
        <v>353417.812673958</v>
      </c>
      <c r="D16" s="27" t="n">
        <f aca="false">C16*Tasas!$C$5</f>
        <v>4010.45140634647</v>
      </c>
      <c r="E16" s="27" t="n">
        <f aca="false">F16-D16</f>
        <v>12305.6968761844</v>
      </c>
      <c r="F16" s="27" t="n">
        <f aca="false">Supuestos!$C$74*Factores!$C$17</f>
        <v>16316.1482825308</v>
      </c>
      <c r="G16" s="27" t="n">
        <f aca="false">C16-E16</f>
        <v>341112.115797773</v>
      </c>
      <c r="I16" s="27" t="n">
        <f aca="false">M15</f>
        <v>191434.648531727</v>
      </c>
      <c r="J16" s="27" t="n">
        <f aca="false">I16*Tasas!$C$5</f>
        <v>2172.32784510434</v>
      </c>
      <c r="K16" s="27" t="n">
        <f aca="false">L16-J16</f>
        <v>6665.5858079332</v>
      </c>
      <c r="L16" s="27" t="n">
        <f aca="false">Supuestos!$C$75*Factores!$C$17</f>
        <v>8837.91365303753</v>
      </c>
      <c r="M16" s="27" t="n">
        <f aca="false">I16-K16</f>
        <v>184769.062723794</v>
      </c>
    </row>
    <row r="17" customFormat="false" ht="15" hidden="false" customHeight="false" outlineLevel="0" collapsed="false">
      <c r="A17" s="34" t="n">
        <v>13</v>
      </c>
      <c r="B17" s="34" t="n">
        <f aca="false">ROUNDUP(A17/12,0)</f>
        <v>2</v>
      </c>
      <c r="C17" s="27" t="n">
        <f aca="false">G16</f>
        <v>341112.115797773</v>
      </c>
      <c r="D17" s="27" t="n">
        <f aca="false">C17*Tasas!$C$5</f>
        <v>3870.81102158551</v>
      </c>
      <c r="E17" s="27" t="n">
        <f aca="false">F17-D17</f>
        <v>12445.3372609453</v>
      </c>
      <c r="F17" s="27" t="n">
        <f aca="false">Supuestos!$C$74*Factores!$C$17</f>
        <v>16316.1482825308</v>
      </c>
      <c r="G17" s="27" t="n">
        <f aca="false">C17-E17</f>
        <v>328666.778536828</v>
      </c>
      <c r="I17" s="27" t="n">
        <f aca="false">M16</f>
        <v>184769.062723794</v>
      </c>
      <c r="J17" s="27" t="n">
        <f aca="false">I17*Tasas!$C$5</f>
        <v>2096.68930335882</v>
      </c>
      <c r="K17" s="27" t="n">
        <f aca="false">L17-J17</f>
        <v>6741.22434967871</v>
      </c>
      <c r="L17" s="27" t="n">
        <f aca="false">Supuestos!$C$75*Factores!$C$17</f>
        <v>8837.91365303753</v>
      </c>
      <c r="M17" s="27" t="n">
        <f aca="false">I17-K17</f>
        <v>178027.838374115</v>
      </c>
    </row>
    <row r="18" customFormat="false" ht="15" hidden="false" customHeight="false" outlineLevel="0" collapsed="false">
      <c r="A18" s="34" t="n">
        <v>14</v>
      </c>
      <c r="B18" s="34" t="n">
        <f aca="false">ROUNDUP(A18/12,0)</f>
        <v>2</v>
      </c>
      <c r="C18" s="27" t="n">
        <f aca="false">G17</f>
        <v>328666.778536828</v>
      </c>
      <c r="D18" s="27" t="n">
        <f aca="false">C18*Tasas!$C$5</f>
        <v>3729.58605065667</v>
      </c>
      <c r="E18" s="27" t="n">
        <f aca="false">F18-D18</f>
        <v>12586.5622318742</v>
      </c>
      <c r="F18" s="27" t="n">
        <f aca="false">Supuestos!$C$74*Factores!$C$17</f>
        <v>16316.1482825308</v>
      </c>
      <c r="G18" s="27" t="n">
        <f aca="false">C18-E18</f>
        <v>316080.216304954</v>
      </c>
      <c r="I18" s="27" t="n">
        <f aca="false">M17</f>
        <v>178027.838374115</v>
      </c>
      <c r="J18" s="27" t="n">
        <f aca="false">I18*Tasas!$C$5</f>
        <v>2020.1924441057</v>
      </c>
      <c r="K18" s="27" t="n">
        <f aca="false">L18-J18</f>
        <v>6817.72120893184</v>
      </c>
      <c r="L18" s="27" t="n">
        <f aca="false">Supuestos!$C$75*Factores!$C$17</f>
        <v>8837.91365303753</v>
      </c>
      <c r="M18" s="27" t="n">
        <f aca="false">I18-K18</f>
        <v>171210.117165183</v>
      </c>
    </row>
    <row r="19" customFormat="false" ht="15" hidden="false" customHeight="false" outlineLevel="0" collapsed="false">
      <c r="A19" s="34" t="n">
        <v>15</v>
      </c>
      <c r="B19" s="34" t="n">
        <f aca="false">ROUNDUP(A19/12,0)</f>
        <v>2</v>
      </c>
      <c r="C19" s="27" t="n">
        <f aca="false">G18</f>
        <v>316080.216304954</v>
      </c>
      <c r="D19" s="27" t="n">
        <f aca="false">C19*Tasas!$C$5</f>
        <v>3586.75851227661</v>
      </c>
      <c r="E19" s="27" t="n">
        <f aca="false">F19-D19</f>
        <v>12729.3897702542</v>
      </c>
      <c r="F19" s="27" t="n">
        <f aca="false">Supuestos!$C$74*Factores!$C$17</f>
        <v>16316.1482825308</v>
      </c>
      <c r="G19" s="27" t="n">
        <f aca="false">C19-E19</f>
        <v>303350.8265347</v>
      </c>
      <c r="I19" s="27" t="n">
        <f aca="false">M18</f>
        <v>171210.117165183</v>
      </c>
      <c r="J19" s="27" t="n">
        <f aca="false">I19*Tasas!$C$5</f>
        <v>1942.82752748316</v>
      </c>
      <c r="K19" s="27" t="n">
        <f aca="false">L19-J19</f>
        <v>6895.08612555437</v>
      </c>
      <c r="L19" s="27" t="n">
        <f aca="false">Supuestos!$C$75*Factores!$C$17</f>
        <v>8837.91365303753</v>
      </c>
      <c r="M19" s="27" t="n">
        <f aca="false">I19-K19</f>
        <v>164315.031039629</v>
      </c>
    </row>
    <row r="20" customFormat="false" ht="15" hidden="false" customHeight="false" outlineLevel="0" collapsed="false">
      <c r="A20" s="34" t="n">
        <v>16</v>
      </c>
      <c r="B20" s="34" t="n">
        <f aca="false">ROUNDUP(A20/12,0)</f>
        <v>2</v>
      </c>
      <c r="C20" s="27" t="n">
        <f aca="false">G19</f>
        <v>303350.8265347</v>
      </c>
      <c r="D20" s="27" t="n">
        <f aca="false">C20*Tasas!$C$5</f>
        <v>3442.3102211172</v>
      </c>
      <c r="E20" s="27" t="n">
        <f aca="false">F20-D20</f>
        <v>12873.8380614136</v>
      </c>
      <c r="F20" s="27" t="n">
        <f aca="false">Supuestos!$C$74*Factores!$C$17</f>
        <v>16316.1482825308</v>
      </c>
      <c r="G20" s="27" t="n">
        <f aca="false">C20-E20</f>
        <v>290476.988473286</v>
      </c>
      <c r="I20" s="27" t="n">
        <f aca="false">M19</f>
        <v>164315.031039629</v>
      </c>
      <c r="J20" s="27" t="n">
        <f aca="false">I20*Tasas!$C$5</f>
        <v>1864.58470310515</v>
      </c>
      <c r="K20" s="27" t="n">
        <f aca="false">L20-J20</f>
        <v>6973.32894993238</v>
      </c>
      <c r="L20" s="27" t="n">
        <f aca="false">Supuestos!$C$75*Factores!$C$17</f>
        <v>8837.91365303753</v>
      </c>
      <c r="M20" s="27" t="n">
        <f aca="false">I20-K20</f>
        <v>157341.702089697</v>
      </c>
    </row>
    <row r="21" customFormat="false" ht="15" hidden="false" customHeight="false" outlineLevel="0" collapsed="false">
      <c r="A21" s="34" t="n">
        <v>17</v>
      </c>
      <c r="B21" s="34" t="n">
        <f aca="false">ROUNDUP(A21/12,0)</f>
        <v>2</v>
      </c>
      <c r="C21" s="27" t="n">
        <f aca="false">G20</f>
        <v>290476.988473286</v>
      </c>
      <c r="D21" s="27" t="n">
        <f aca="false">C21*Tasas!$C$5</f>
        <v>3296.22278549012</v>
      </c>
      <c r="E21" s="27" t="n">
        <f aca="false">F21-D21</f>
        <v>13019.9254970407</v>
      </c>
      <c r="F21" s="27" t="n">
        <f aca="false">Supuestos!$C$74*Factores!$C$17</f>
        <v>16316.1482825308</v>
      </c>
      <c r="G21" s="27" t="n">
        <f aca="false">C21-E21</f>
        <v>277457.062976245</v>
      </c>
      <c r="I21" s="27" t="n">
        <f aca="false">M20</f>
        <v>157341.702089697</v>
      </c>
      <c r="J21" s="27" t="n">
        <f aca="false">I21*Tasas!$C$5</f>
        <v>1785.45400880715</v>
      </c>
      <c r="K21" s="27" t="n">
        <f aca="false">L21-J21</f>
        <v>7052.45964423039</v>
      </c>
      <c r="L21" s="27" t="n">
        <f aca="false">Supuestos!$C$75*Factores!$C$17</f>
        <v>8837.91365303753</v>
      </c>
      <c r="M21" s="27" t="n">
        <f aca="false">I21-K21</f>
        <v>150289.242445466</v>
      </c>
    </row>
    <row r="22" customFormat="false" ht="15" hidden="false" customHeight="false" outlineLevel="0" collapsed="false">
      <c r="A22" s="34" t="n">
        <v>18</v>
      </c>
      <c r="B22" s="34" t="n">
        <f aca="false">ROUNDUP(A22/12,0)</f>
        <v>2</v>
      </c>
      <c r="C22" s="27" t="n">
        <f aca="false">G21</f>
        <v>277457.062976245</v>
      </c>
      <c r="D22" s="27" t="n">
        <f aca="false">C22*Tasas!$C$5</f>
        <v>3148.4776050051</v>
      </c>
      <c r="E22" s="27" t="n">
        <f aca="false">F22-D22</f>
        <v>13167.6706775257</v>
      </c>
      <c r="F22" s="27" t="n">
        <f aca="false">Supuestos!$C$74*Factores!$C$17</f>
        <v>16316.1482825308</v>
      </c>
      <c r="G22" s="27" t="n">
        <f aca="false">C22-E22</f>
        <v>264289.39229872</v>
      </c>
      <c r="I22" s="27" t="n">
        <f aca="false">M21</f>
        <v>150289.242445466</v>
      </c>
      <c r="J22" s="27" t="n">
        <f aca="false">I22*Tasas!$C$5</f>
        <v>1705.42536937776</v>
      </c>
      <c r="K22" s="27" t="n">
        <f aca="false">L22-J22</f>
        <v>7132.48828365977</v>
      </c>
      <c r="L22" s="27" t="n">
        <f aca="false">Supuestos!$C$75*Factores!$C$17</f>
        <v>8837.91365303753</v>
      </c>
      <c r="M22" s="27" t="n">
        <f aca="false">I22-K22</f>
        <v>143156.754161806</v>
      </c>
    </row>
    <row r="23" customFormat="false" ht="15" hidden="false" customHeight="false" outlineLevel="0" collapsed="false">
      <c r="A23" s="34" t="n">
        <v>19</v>
      </c>
      <c r="B23" s="34" t="n">
        <f aca="false">ROUNDUP(A23/12,0)</f>
        <v>2</v>
      </c>
      <c r="C23" s="27" t="n">
        <f aca="false">G22</f>
        <v>264289.39229872</v>
      </c>
      <c r="D23" s="27" t="n">
        <f aca="false">C23*Tasas!$C$5</f>
        <v>2999.05586820173</v>
      </c>
      <c r="E23" s="27" t="n">
        <f aca="false">F23-D23</f>
        <v>13317.0924143291</v>
      </c>
      <c r="F23" s="27" t="n">
        <f aca="false">Supuestos!$C$74*Factores!$C$17</f>
        <v>16316.1482825308</v>
      </c>
      <c r="G23" s="27" t="n">
        <f aca="false">C23-E23</f>
        <v>250972.299884391</v>
      </c>
      <c r="I23" s="27" t="n">
        <f aca="false">M22</f>
        <v>143156.754161806</v>
      </c>
      <c r="J23" s="27" t="n">
        <f aca="false">I23*Tasas!$C$5</f>
        <v>1624.48859527594</v>
      </c>
      <c r="K23" s="27" t="n">
        <f aca="false">L23-J23</f>
        <v>7213.4250577616</v>
      </c>
      <c r="L23" s="27" t="n">
        <f aca="false">Supuestos!$C$75*Factores!$C$17</f>
        <v>8837.91365303753</v>
      </c>
      <c r="M23" s="27" t="n">
        <f aca="false">I23-K23</f>
        <v>135943.329104045</v>
      </c>
    </row>
    <row r="24" customFormat="false" ht="15" hidden="false" customHeight="false" outlineLevel="0" collapsed="false">
      <c r="A24" s="34" t="n">
        <v>20</v>
      </c>
      <c r="B24" s="34" t="n">
        <f aca="false">ROUNDUP(A24/12,0)</f>
        <v>2</v>
      </c>
      <c r="C24" s="27" t="n">
        <f aca="false">G23</f>
        <v>250972.299884391</v>
      </c>
      <c r="D24" s="27" t="n">
        <f aca="false">C24*Tasas!$C$5</f>
        <v>2847.93855015426</v>
      </c>
      <c r="E24" s="27" t="n">
        <f aca="false">F24-D24</f>
        <v>13468.2097323766</v>
      </c>
      <c r="F24" s="27" t="n">
        <f aca="false">Supuestos!$C$74*Factores!$C$17</f>
        <v>16316.1482825308</v>
      </c>
      <c r="G24" s="27" t="n">
        <f aca="false">C24-E24</f>
        <v>237504.090152014</v>
      </c>
      <c r="I24" s="27" t="n">
        <f aca="false">M23</f>
        <v>135943.329104045</v>
      </c>
      <c r="J24" s="27" t="n">
        <f aca="false">I24*Tasas!$C$5</f>
        <v>1542.63338133356</v>
      </c>
      <c r="K24" s="27" t="n">
        <f aca="false">L24-J24</f>
        <v>7295.28027170398</v>
      </c>
      <c r="L24" s="27" t="n">
        <f aca="false">Supuestos!$C$75*Factores!$C$17</f>
        <v>8837.91365303753</v>
      </c>
      <c r="M24" s="27" t="n">
        <f aca="false">I24-K24</f>
        <v>128648.048832341</v>
      </c>
    </row>
    <row r="25" customFormat="false" ht="15" hidden="false" customHeight="false" outlineLevel="0" collapsed="false">
      <c r="A25" s="34" t="n">
        <v>21</v>
      </c>
      <c r="B25" s="34" t="n">
        <f aca="false">ROUNDUP(A25/12,0)</f>
        <v>2</v>
      </c>
      <c r="C25" s="27" t="n">
        <f aca="false">G24</f>
        <v>237504.090152014</v>
      </c>
      <c r="D25" s="27" t="n">
        <f aca="false">C25*Tasas!$C$5</f>
        <v>2695.10641004929</v>
      </c>
      <c r="E25" s="27" t="n">
        <f aca="false">F25-D25</f>
        <v>13621.0418724815</v>
      </c>
      <c r="F25" s="27" t="n">
        <f aca="false">Supuestos!$C$74*Factores!$C$17</f>
        <v>16316.1482825308</v>
      </c>
      <c r="G25" s="27" t="n">
        <f aca="false">C25-E25</f>
        <v>223883.048279532</v>
      </c>
      <c r="I25" s="27" t="n">
        <f aca="false">M24</f>
        <v>128648.048832341</v>
      </c>
      <c r="J25" s="27" t="n">
        <f aca="false">I25*Tasas!$C$5</f>
        <v>1459.84930544336</v>
      </c>
      <c r="K25" s="27" t="n">
        <f aca="false">L25-J25</f>
        <v>7378.06434759417</v>
      </c>
      <c r="L25" s="27" t="n">
        <f aca="false">Supuestos!$C$75*Factores!$C$17</f>
        <v>8837.91365303753</v>
      </c>
      <c r="M25" s="27" t="n">
        <f aca="false">I25-K25</f>
        <v>121269.984484747</v>
      </c>
    </row>
    <row r="26" customFormat="false" ht="15" hidden="false" customHeight="false" outlineLevel="0" collapsed="false">
      <c r="A26" s="34" t="n">
        <v>22</v>
      </c>
      <c r="B26" s="34" t="n">
        <f aca="false">ROUNDUP(A26/12,0)</f>
        <v>2</v>
      </c>
      <c r="C26" s="27" t="n">
        <f aca="false">G25</f>
        <v>223883.048279532</v>
      </c>
      <c r="D26" s="27" t="n">
        <f aca="false">C26*Tasas!$C$5</f>
        <v>2540.53998873596</v>
      </c>
      <c r="E26" s="27" t="n">
        <f aca="false">F26-D26</f>
        <v>13775.6082937949</v>
      </c>
      <c r="F26" s="27" t="n">
        <f aca="false">Supuestos!$C$74*Factores!$C$17</f>
        <v>16316.1482825308</v>
      </c>
      <c r="G26" s="27" t="n">
        <f aca="false">C26-E26</f>
        <v>210107.439985738</v>
      </c>
      <c r="I26" s="27" t="n">
        <f aca="false">M25</f>
        <v>121269.984484747</v>
      </c>
      <c r="J26" s="27" t="n">
        <f aca="false">I26*Tasas!$C$5</f>
        <v>1376.12582723198</v>
      </c>
      <c r="K26" s="27" t="n">
        <f aca="false">L26-J26</f>
        <v>7461.78782580555</v>
      </c>
      <c r="L26" s="27" t="n">
        <f aca="false">Supuestos!$C$75*Factores!$C$17</f>
        <v>8837.91365303753</v>
      </c>
      <c r="M26" s="27" t="n">
        <f aca="false">I26-K26</f>
        <v>113808.196658941</v>
      </c>
    </row>
    <row r="27" customFormat="false" ht="15" hidden="false" customHeight="false" outlineLevel="0" collapsed="false">
      <c r="A27" s="34" t="n">
        <v>23</v>
      </c>
      <c r="B27" s="34" t="n">
        <f aca="false">ROUNDUP(A27/12,0)</f>
        <v>2</v>
      </c>
      <c r="C27" s="27" t="n">
        <f aca="false">G26</f>
        <v>210107.439985738</v>
      </c>
      <c r="D27" s="27" t="n">
        <f aca="false">C27*Tasas!$C$5</f>
        <v>2384.21960624835</v>
      </c>
      <c r="E27" s="27" t="n">
        <f aca="false">F27-D27</f>
        <v>13931.9286762825</v>
      </c>
      <c r="F27" s="27" t="n">
        <f aca="false">Supuestos!$C$74*Factores!$C$17</f>
        <v>16316.1482825308</v>
      </c>
      <c r="G27" s="27" t="n">
        <f aca="false">C27-E27</f>
        <v>196175.511309455</v>
      </c>
      <c r="I27" s="27" t="n">
        <f aca="false">M26</f>
        <v>113808.196658941</v>
      </c>
      <c r="J27" s="27" t="n">
        <f aca="false">I27*Tasas!$C$5</f>
        <v>1291.45228671786</v>
      </c>
      <c r="K27" s="27" t="n">
        <f aca="false">L27-J27</f>
        <v>7546.46136631968</v>
      </c>
      <c r="L27" s="27" t="n">
        <f aca="false">Supuestos!$C$75*Factores!$C$17</f>
        <v>8837.91365303753</v>
      </c>
      <c r="M27" s="27" t="n">
        <f aca="false">I27-K27</f>
        <v>106261.735292621</v>
      </c>
    </row>
    <row r="28" customFormat="false" ht="15" hidden="false" customHeight="false" outlineLevel="0" collapsed="false">
      <c r="A28" s="34" t="n">
        <v>24</v>
      </c>
      <c r="B28" s="34" t="n">
        <f aca="false">ROUNDUP(A28/12,0)</f>
        <v>2</v>
      </c>
      <c r="C28" s="27" t="n">
        <f aca="false">G27</f>
        <v>196175.511309455</v>
      </c>
      <c r="D28" s="27" t="n">
        <f aca="false">C28*Tasas!$C$5</f>
        <v>2226.12535929974</v>
      </c>
      <c r="E28" s="27" t="n">
        <f aca="false">F28-D28</f>
        <v>14090.0229232311</v>
      </c>
      <c r="F28" s="27" t="n">
        <f aca="false">Supuestos!$C$74*Factores!$C$17</f>
        <v>16316.1482825308</v>
      </c>
      <c r="G28" s="27" t="n">
        <f aca="false">C28-E28</f>
        <v>182085.488386224</v>
      </c>
      <c r="I28" s="27" t="n">
        <f aca="false">M27</f>
        <v>106261.735292621</v>
      </c>
      <c r="J28" s="27" t="n">
        <f aca="false">I28*Tasas!$C$5</f>
        <v>1205.81790295402</v>
      </c>
      <c r="K28" s="27" t="n">
        <f aca="false">L28-J28</f>
        <v>7632.09575008351</v>
      </c>
      <c r="L28" s="27" t="n">
        <f aca="false">Supuestos!$C$75*Factores!$C$17</f>
        <v>8837.91365303753</v>
      </c>
      <c r="M28" s="27" t="n">
        <f aca="false">I28-K28</f>
        <v>98629.639542538</v>
      </c>
    </row>
    <row r="29" customFormat="false" ht="15" hidden="false" customHeight="false" outlineLevel="0" collapsed="false">
      <c r="A29" s="34" t="n">
        <v>25</v>
      </c>
      <c r="B29" s="34" t="n">
        <f aca="false">ROUNDUP(A29/12,0)</f>
        <v>3</v>
      </c>
      <c r="C29" s="27" t="n">
        <f aca="false">G28</f>
        <v>182085.488386224</v>
      </c>
      <c r="D29" s="27" t="n">
        <f aca="false">C29*Tasas!$C$5</f>
        <v>2066.23711874844</v>
      </c>
      <c r="E29" s="27" t="n">
        <f aca="false">F29-D29</f>
        <v>14249.9111637824</v>
      </c>
      <c r="F29" s="27" t="n">
        <f aca="false">Supuestos!$C$74*Factores!$C$17</f>
        <v>16316.1482825308</v>
      </c>
      <c r="G29" s="27" t="n">
        <f aca="false">C29-E29</f>
        <v>167835.577222442</v>
      </c>
      <c r="I29" s="27" t="n">
        <f aca="false">M28</f>
        <v>98629.639542538</v>
      </c>
      <c r="J29" s="27" t="n">
        <f aca="false">I29*Tasas!$C$5</f>
        <v>1119.21177265541</v>
      </c>
      <c r="K29" s="27" t="n">
        <f aca="false">L29-J29</f>
        <v>7718.70188038213</v>
      </c>
      <c r="L29" s="27" t="n">
        <f aca="false">Supuestos!$C$75*Factores!$C$17</f>
        <v>8837.91365303753</v>
      </c>
      <c r="M29" s="27" t="n">
        <f aca="false">I29-K29</f>
        <v>90910.9376621558</v>
      </c>
    </row>
    <row r="30" customFormat="false" ht="15" hidden="false" customHeight="false" outlineLevel="0" collapsed="false">
      <c r="A30" s="34" t="n">
        <v>26</v>
      </c>
      <c r="B30" s="34" t="n">
        <f aca="false">ROUNDUP(A30/12,0)</f>
        <v>3</v>
      </c>
      <c r="C30" s="27" t="n">
        <f aca="false">G29</f>
        <v>167835.577222442</v>
      </c>
      <c r="D30" s="27" t="n">
        <f aca="false">C30*Tasas!$C$5</f>
        <v>1904.53452703492</v>
      </c>
      <c r="E30" s="27" t="n">
        <f aca="false">F30-D30</f>
        <v>14411.6137554959</v>
      </c>
      <c r="F30" s="27" t="n">
        <f aca="false">Supuestos!$C$74*Factores!$C$17</f>
        <v>16316.1482825308</v>
      </c>
      <c r="G30" s="27" t="n">
        <f aca="false">C30-E30</f>
        <v>153423.963466946</v>
      </c>
      <c r="I30" s="27" t="n">
        <f aca="false">M29</f>
        <v>90910.9376621558</v>
      </c>
      <c r="J30" s="27" t="n">
        <f aca="false">I30*Tasas!$C$5</f>
        <v>1031.62286881058</v>
      </c>
      <c r="K30" s="27" t="n">
        <f aca="false">L30-J30</f>
        <v>7806.29078422695</v>
      </c>
      <c r="L30" s="27" t="n">
        <f aca="false">Supuestos!$C$75*Factores!$C$17</f>
        <v>8837.91365303753</v>
      </c>
      <c r="M30" s="27" t="n">
        <f aca="false">I30-K30</f>
        <v>83104.6468779289</v>
      </c>
    </row>
    <row r="31" customFormat="false" ht="15" hidden="false" customHeight="false" outlineLevel="0" collapsed="false">
      <c r="A31" s="34" t="n">
        <v>27</v>
      </c>
      <c r="B31" s="34" t="n">
        <f aca="false">ROUNDUP(A31/12,0)</f>
        <v>3</v>
      </c>
      <c r="C31" s="27" t="n">
        <f aca="false">G30</f>
        <v>153423.963466946</v>
      </c>
      <c r="D31" s="27" t="n">
        <f aca="false">C31*Tasas!$C$5</f>
        <v>1740.99699558975</v>
      </c>
      <c r="E31" s="27" t="n">
        <f aca="false">F31-D31</f>
        <v>14575.1512869411</v>
      </c>
      <c r="F31" s="27" t="n">
        <f aca="false">Supuestos!$C$74*Factores!$C$17</f>
        <v>16316.1482825308</v>
      </c>
      <c r="G31" s="27" t="n">
        <f aca="false">C31-E31</f>
        <v>138848.812180005</v>
      </c>
      <c r="I31" s="27" t="n">
        <f aca="false">M30</f>
        <v>83104.6468779289</v>
      </c>
      <c r="J31" s="27" t="n">
        <f aca="false">I31*Tasas!$C$5</f>
        <v>943.040039277781</v>
      </c>
      <c r="K31" s="27" t="n">
        <f aca="false">L31-J31</f>
        <v>7894.87361375975</v>
      </c>
      <c r="L31" s="27" t="n">
        <f aca="false">Supuestos!$C$75*Factores!$C$17</f>
        <v>8837.91365303753</v>
      </c>
      <c r="M31" s="27" t="n">
        <f aca="false">I31-K31</f>
        <v>75209.7732641691</v>
      </c>
    </row>
    <row r="32" customFormat="false" ht="15" hidden="false" customHeight="false" outlineLevel="0" collapsed="false">
      <c r="A32" s="34" t="n">
        <v>28</v>
      </c>
      <c r="B32" s="34" t="n">
        <f aca="false">ROUNDUP(A32/12,0)</f>
        <v>3</v>
      </c>
      <c r="C32" s="27" t="n">
        <f aca="false">G31</f>
        <v>138848.812180005</v>
      </c>
      <c r="D32" s="27" t="n">
        <f aca="false">C32*Tasas!$C$5</f>
        <v>1575.60370221223</v>
      </c>
      <c r="E32" s="27" t="n">
        <f aca="false">F32-D32</f>
        <v>14740.5445803186</v>
      </c>
      <c r="F32" s="27" t="n">
        <f aca="false">Supuestos!$C$74*Factores!$C$17</f>
        <v>16316.1482825308</v>
      </c>
      <c r="G32" s="27" t="n">
        <f aca="false">C32-E32</f>
        <v>124108.267599686</v>
      </c>
      <c r="I32" s="27" t="n">
        <f aca="false">M31</f>
        <v>75209.7732641691</v>
      </c>
      <c r="J32" s="27" t="n">
        <f aca="false">I32*Tasas!$C$5</f>
        <v>853.452005364957</v>
      </c>
      <c r="K32" s="27" t="n">
        <f aca="false">L32-J32</f>
        <v>7984.46164767258</v>
      </c>
      <c r="L32" s="27" t="n">
        <f aca="false">Supuestos!$C$75*Factores!$C$17</f>
        <v>8837.91365303753</v>
      </c>
      <c r="M32" s="27" t="n">
        <f aca="false">I32-K32</f>
        <v>67225.3116164965</v>
      </c>
    </row>
    <row r="33" customFormat="false" ht="15" hidden="false" customHeight="false" outlineLevel="0" collapsed="false">
      <c r="A33" s="34" t="n">
        <v>29</v>
      </c>
      <c r="B33" s="34" t="n">
        <f aca="false">ROUNDUP(A33/12,0)</f>
        <v>3</v>
      </c>
      <c r="C33" s="27" t="n">
        <f aca="false">G32</f>
        <v>124108.267599686</v>
      </c>
      <c r="D33" s="27" t="n">
        <f aca="false">C33*Tasas!$C$5</f>
        <v>1408.33358841922</v>
      </c>
      <c r="E33" s="27" t="n">
        <f aca="false">F33-D33</f>
        <v>14907.8146941116</v>
      </c>
      <c r="F33" s="27" t="n">
        <f aca="false">Supuestos!$C$74*Factores!$C$17</f>
        <v>16316.1482825308</v>
      </c>
      <c r="G33" s="27" t="n">
        <f aca="false">C33-E33</f>
        <v>109200.452905574</v>
      </c>
      <c r="I33" s="27" t="n">
        <f aca="false">M32</f>
        <v>67225.3116164965</v>
      </c>
      <c r="J33" s="27" t="n">
        <f aca="false">I33*Tasas!$C$5</f>
        <v>762.84736039374</v>
      </c>
      <c r="K33" s="27" t="n">
        <f aca="false">L33-J33</f>
        <v>8075.06629264379</v>
      </c>
      <c r="L33" s="27" t="n">
        <f aca="false">Supuestos!$C$75*Factores!$C$17</f>
        <v>8837.91365303753</v>
      </c>
      <c r="M33" s="27" t="n">
        <f aca="false">I33-K33</f>
        <v>59150.2453238527</v>
      </c>
    </row>
    <row r="34" customFormat="false" ht="15" hidden="false" customHeight="false" outlineLevel="0" collapsed="false">
      <c r="A34" s="34" t="n">
        <v>30</v>
      </c>
      <c r="B34" s="34" t="n">
        <f aca="false">ROUNDUP(A34/12,0)</f>
        <v>3</v>
      </c>
      <c r="C34" s="27" t="n">
        <f aca="false">G33</f>
        <v>109200.452905574</v>
      </c>
      <c r="D34" s="27" t="n">
        <f aca="false">C34*Tasas!$C$5</f>
        <v>1239.16535676387</v>
      </c>
      <c r="E34" s="27" t="n">
        <f aca="false">F34-D34</f>
        <v>15076.982925767</v>
      </c>
      <c r="F34" s="27" t="n">
        <f aca="false">Supuestos!$C$74*Factores!$C$17</f>
        <v>16316.1482825308</v>
      </c>
      <c r="G34" s="27" t="n">
        <f aca="false">C34-E34</f>
        <v>94123.4699798075</v>
      </c>
      <c r="I34" s="27" t="n">
        <f aca="false">M33</f>
        <v>59150.2453238527</v>
      </c>
      <c r="J34" s="27" t="n">
        <f aca="false">I34*Tasas!$C$5</f>
        <v>671.214568247097</v>
      </c>
      <c r="K34" s="27" t="n">
        <f aca="false">L34-J34</f>
        <v>8166.69908479044</v>
      </c>
      <c r="L34" s="27" t="n">
        <f aca="false">Supuestos!$C$75*Factores!$C$17</f>
        <v>8837.91365303753</v>
      </c>
      <c r="M34" s="27" t="n">
        <f aca="false">I34-K34</f>
        <v>50983.5462390623</v>
      </c>
    </row>
    <row r="35" customFormat="false" ht="15" hidden="false" customHeight="false" outlineLevel="0" collapsed="false">
      <c r="A35" s="34" t="n">
        <v>31</v>
      </c>
      <c r="B35" s="34" t="n">
        <f aca="false">ROUNDUP(A35/12,0)</f>
        <v>3</v>
      </c>
      <c r="C35" s="27" t="n">
        <f aca="false">G34</f>
        <v>94123.4699798075</v>
      </c>
      <c r="D35" s="27" t="n">
        <f aca="false">C35*Tasas!$C$5</f>
        <v>1068.07746812402</v>
      </c>
      <c r="E35" s="27" t="n">
        <f aca="false">F35-D35</f>
        <v>15248.0708144068</v>
      </c>
      <c r="F35" s="27" t="n">
        <f aca="false">Supuestos!$C$74*Factores!$C$17</f>
        <v>16316.1482825308</v>
      </c>
      <c r="G35" s="27" t="n">
        <f aca="false">C35-E35</f>
        <v>78875.3991654007</v>
      </c>
      <c r="I35" s="27" t="n">
        <f aca="false">M34</f>
        <v>50983.5462390623</v>
      </c>
      <c r="J35" s="27" t="n">
        <f aca="false">I35*Tasas!$C$5</f>
        <v>578.541961900508</v>
      </c>
      <c r="K35" s="27" t="n">
        <f aca="false">L35-J35</f>
        <v>8259.37169113703</v>
      </c>
      <c r="L35" s="27" t="n">
        <f aca="false">Supuestos!$C$75*Factores!$C$17</f>
        <v>8837.91365303753</v>
      </c>
      <c r="M35" s="27" t="n">
        <f aca="false">I35-K35</f>
        <v>42724.1745479253</v>
      </c>
    </row>
    <row r="36" customFormat="false" ht="15" hidden="false" customHeight="false" outlineLevel="0" collapsed="false">
      <c r="A36" s="34" t="n">
        <v>32</v>
      </c>
      <c r="B36" s="34" t="n">
        <f aca="false">ROUNDUP(A36/12,0)</f>
        <v>3</v>
      </c>
      <c r="C36" s="27" t="n">
        <f aca="false">G35</f>
        <v>78875.3991654007</v>
      </c>
      <c r="D36" s="27" t="n">
        <f aca="false">C36*Tasas!$C$5</f>
        <v>895.048138959662</v>
      </c>
      <c r="E36" s="27" t="n">
        <f aca="false">F36-D36</f>
        <v>15421.1001435712</v>
      </c>
      <c r="F36" s="27" t="n">
        <f aca="false">Supuestos!$C$74*Factores!$C$17</f>
        <v>16316.1482825308</v>
      </c>
      <c r="G36" s="27" t="n">
        <f aca="false">C36-E36</f>
        <v>63454.2990218295</v>
      </c>
      <c r="I36" s="27" t="n">
        <f aca="false">M35</f>
        <v>42724.1745479253</v>
      </c>
      <c r="J36" s="27" t="n">
        <f aca="false">I36*Tasas!$C$5</f>
        <v>484.817741936482</v>
      </c>
      <c r="K36" s="27" t="n">
        <f aca="false">L36-J36</f>
        <v>8353.09591110105</v>
      </c>
      <c r="L36" s="27" t="n">
        <f aca="false">Supuestos!$C$75*Factores!$C$17</f>
        <v>8837.91365303753</v>
      </c>
      <c r="M36" s="27" t="n">
        <f aca="false">I36-K36</f>
        <v>34371.0786368242</v>
      </c>
    </row>
    <row r="37" customFormat="false" ht="15" hidden="false" customHeight="false" outlineLevel="0" collapsed="false">
      <c r="A37" s="34" t="n">
        <v>33</v>
      </c>
      <c r="B37" s="34" t="n">
        <f aca="false">ROUNDUP(A37/12,0)</f>
        <v>3</v>
      </c>
      <c r="C37" s="27" t="n">
        <f aca="false">G36</f>
        <v>63454.2990218295</v>
      </c>
      <c r="D37" s="27" t="n">
        <f aca="false">C37*Tasas!$C$5</f>
        <v>720.05533853947</v>
      </c>
      <c r="E37" s="27" t="n">
        <f aca="false">F37-D37</f>
        <v>15596.0929439914</v>
      </c>
      <c r="F37" s="27" t="n">
        <f aca="false">Supuestos!$C$74*Factores!$C$17</f>
        <v>16316.1482825308</v>
      </c>
      <c r="G37" s="27" t="n">
        <f aca="false">C37-E37</f>
        <v>47858.2060778382</v>
      </c>
      <c r="I37" s="27" t="n">
        <f aca="false">M36</f>
        <v>34371.0786368242</v>
      </c>
      <c r="J37" s="27" t="n">
        <f aca="false">I37*Tasas!$C$5</f>
        <v>390.029975042212</v>
      </c>
      <c r="K37" s="27" t="n">
        <f aca="false">L37-J37</f>
        <v>8447.88367799532</v>
      </c>
      <c r="L37" s="27" t="n">
        <f aca="false">Supuestos!$C$75*Factores!$C$17</f>
        <v>8837.91365303753</v>
      </c>
      <c r="M37" s="27" t="n">
        <f aca="false">I37-K37</f>
        <v>25923.1949588289</v>
      </c>
    </row>
    <row r="38" customFormat="false" ht="15" hidden="false" customHeight="false" outlineLevel="0" collapsed="false">
      <c r="A38" s="34" t="n">
        <v>34</v>
      </c>
      <c r="B38" s="34" t="n">
        <f aca="false">ROUNDUP(A38/12,0)</f>
        <v>3</v>
      </c>
      <c r="C38" s="27" t="n">
        <f aca="false">G37</f>
        <v>47858.2060778382</v>
      </c>
      <c r="D38" s="27" t="n">
        <f aca="false">C38*Tasas!$C$5</f>
        <v>543.07678613571</v>
      </c>
      <c r="E38" s="27" t="n">
        <f aca="false">F38-D38</f>
        <v>15773.0714963951</v>
      </c>
      <c r="F38" s="27" t="n">
        <f aca="false">Supuestos!$C$74*Factores!$C$17</f>
        <v>16316.1482825308</v>
      </c>
      <c r="G38" s="27" t="n">
        <f aca="false">C38-E38</f>
        <v>32085.1345814431</v>
      </c>
      <c r="I38" s="27" t="n">
        <f aca="false">M37</f>
        <v>25923.1949588289</v>
      </c>
      <c r="J38" s="27" t="n">
        <f aca="false">I38*Tasas!$C$5</f>
        <v>294.166592490175</v>
      </c>
      <c r="K38" s="27" t="n">
        <f aca="false">L38-J38</f>
        <v>8543.74706054736</v>
      </c>
      <c r="L38" s="27" t="n">
        <f aca="false">Supuestos!$C$75*Factores!$C$17</f>
        <v>8837.91365303753</v>
      </c>
      <c r="M38" s="27" t="n">
        <f aca="false">I38-K38</f>
        <v>17379.4478982815</v>
      </c>
    </row>
    <row r="39" customFormat="false" ht="15" hidden="false" customHeight="false" outlineLevel="0" collapsed="false">
      <c r="A39" s="34" t="n">
        <v>35</v>
      </c>
      <c r="B39" s="34" t="n">
        <f aca="false">ROUNDUP(A39/12,0)</f>
        <v>3</v>
      </c>
      <c r="C39" s="27" t="n">
        <f aca="false">G38</f>
        <v>32085.1345814431</v>
      </c>
      <c r="D39" s="27" t="n">
        <f aca="false">C39*Tasas!$C$5</f>
        <v>364.089948187396</v>
      </c>
      <c r="E39" s="27" t="n">
        <f aca="false">F39-D39</f>
        <v>15952.0583343434</v>
      </c>
      <c r="F39" s="27" t="n">
        <f aca="false">Supuestos!$C$74*Factores!$C$17</f>
        <v>16316.1482825308</v>
      </c>
      <c r="G39" s="27" t="n">
        <f aca="false">C39-E39</f>
        <v>16133.0762470996</v>
      </c>
      <c r="I39" s="27" t="n">
        <f aca="false">M38</f>
        <v>17379.4478982815</v>
      </c>
      <c r="J39" s="27" t="n">
        <f aca="false">I39*Tasas!$C$5</f>
        <v>197.215388601505</v>
      </c>
      <c r="K39" s="27" t="n">
        <f aca="false">L39-J39</f>
        <v>8640.69826443603</v>
      </c>
      <c r="L39" s="27" t="n">
        <f aca="false">Supuestos!$C$75*Factores!$C$17</f>
        <v>8837.91365303753</v>
      </c>
      <c r="M39" s="27" t="n">
        <f aca="false">I39-K39</f>
        <v>8738.74963384551</v>
      </c>
    </row>
    <row r="40" customFormat="false" ht="15" hidden="false" customHeight="false" outlineLevel="0" collapsed="false">
      <c r="A40" s="34" t="n">
        <v>36</v>
      </c>
      <c r="B40" s="34" t="n">
        <f aca="false">ROUNDUP(A40/12,0)</f>
        <v>3</v>
      </c>
      <c r="C40" s="27" t="n">
        <f aca="false">G39</f>
        <v>16133.0762470996</v>
      </c>
      <c r="D40" s="27" t="n">
        <f aca="false">C40*Tasas!$C$5</f>
        <v>183.072035431233</v>
      </c>
      <c r="E40" s="27" t="n">
        <f aca="false">F40-D40</f>
        <v>16133.0762470996</v>
      </c>
      <c r="F40" s="27" t="n">
        <f aca="false">Supuestos!$C$74*Factores!$C$17</f>
        <v>16316.1482825308</v>
      </c>
      <c r="G40" s="27" t="n">
        <f aca="false">C40-E40</f>
        <v>0</v>
      </c>
      <c r="I40" s="27" t="n">
        <f aca="false">M39</f>
        <v>8738.74963384551</v>
      </c>
      <c r="J40" s="27" t="n">
        <f aca="false">I40*Tasas!$C$5</f>
        <v>99.1640191919163</v>
      </c>
      <c r="K40" s="27" t="n">
        <f aca="false">L40-J40</f>
        <v>8738.74963384562</v>
      </c>
      <c r="L40" s="27" t="n">
        <f aca="false">Supuestos!$C$75*Factores!$C$17</f>
        <v>8837.91365303753</v>
      </c>
      <c r="M40" s="27" t="n">
        <f aca="false">I40-K40</f>
        <v>-1.03682396002114E-010</v>
      </c>
    </row>
    <row r="43" customFormat="false" ht="26.85" hidden="false" customHeight="false" outlineLevel="0" collapsed="false">
      <c r="A43" s="3" t="s">
        <v>369</v>
      </c>
      <c r="B43" s="3" t="s">
        <v>363</v>
      </c>
      <c r="C43" s="3"/>
      <c r="D43" s="3" t="s">
        <v>365</v>
      </c>
      <c r="E43" s="3" t="s">
        <v>366</v>
      </c>
      <c r="F43" s="3" t="s">
        <v>367</v>
      </c>
      <c r="G43" s="3"/>
      <c r="H43" s="3"/>
      <c r="I43" s="3"/>
      <c r="J43" s="3" t="s">
        <v>365</v>
      </c>
      <c r="K43" s="3" t="s">
        <v>366</v>
      </c>
      <c r="L43" s="3" t="s">
        <v>367</v>
      </c>
    </row>
    <row r="44" customFormat="false" ht="15" hidden="false" customHeight="false" outlineLevel="0" collapsed="false">
      <c r="A44" s="7" t="s">
        <v>137</v>
      </c>
      <c r="B44" s="34" t="n">
        <v>1</v>
      </c>
      <c r="D44" s="27" t="n">
        <f aca="false">SUMIF($B$5:$B$40,$B44,D$5:D$40)</f>
        <v>56905.8951881434</v>
      </c>
      <c r="E44" s="27" t="n">
        <f aca="false">SUMIF($B$5:$B$40,$B44,E$5:E$40)</f>
        <v>138887.884202227</v>
      </c>
      <c r="F44" s="27" t="n">
        <f aca="false">SUMIF($B$5:$B$40,$B44,F$5:F$40)</f>
        <v>195793.77939037</v>
      </c>
      <c r="J44" s="27" t="n">
        <f aca="false">SUMIF($B$5:$B$40,$B44,J$5:J$40)</f>
        <v>30824.0265602443</v>
      </c>
      <c r="K44" s="27" t="n">
        <f aca="false">SUMIF($B$5:$B$40,$B44,K$5:K$40)</f>
        <v>75230.9372762061</v>
      </c>
      <c r="L44" s="27" t="n">
        <f aca="false">SUMIF($B$5:$B$40,$B44,L$5:L$40)</f>
        <v>106054.96383645</v>
      </c>
    </row>
    <row r="45" customFormat="false" ht="15" hidden="false" customHeight="false" outlineLevel="0" collapsed="false">
      <c r="A45" s="7" t="s">
        <v>138</v>
      </c>
      <c r="B45" s="34" t="n">
        <v>2</v>
      </c>
      <c r="D45" s="27" t="n">
        <f aca="false">SUMIF($B$5:$B$40,$B45,D$5:D$40)</f>
        <v>36767.1519788206</v>
      </c>
      <c r="E45" s="27" t="n">
        <f aca="false">SUMIF($B$5:$B$40,$B45,E$5:E$40)</f>
        <v>159026.627411549</v>
      </c>
      <c r="F45" s="27" t="n">
        <f aca="false">SUMIF($B$5:$B$40,$B45,F$5:F$40)</f>
        <v>195793.77939037</v>
      </c>
      <c r="J45" s="27" t="n">
        <f aca="false">SUMIF($B$5:$B$40,$B45,J$5:J$40)</f>
        <v>19915.5406551945</v>
      </c>
      <c r="K45" s="27" t="n">
        <f aca="false">SUMIF($B$5:$B$40,$B45,K$5:K$40)</f>
        <v>86139.4231812559</v>
      </c>
      <c r="L45" s="27" t="n">
        <f aca="false">SUMIF($B$5:$B$40,$B45,L$5:L$40)</f>
        <v>106054.96383645</v>
      </c>
    </row>
    <row r="46" customFormat="false" ht="15" hidden="false" customHeight="false" outlineLevel="0" collapsed="false">
      <c r="A46" s="7" t="s">
        <v>139</v>
      </c>
      <c r="B46" s="34" t="n">
        <v>3</v>
      </c>
      <c r="D46" s="27" t="n">
        <f aca="false">SUMIF($B$5:$B$40,$B46,D$5:D$40)</f>
        <v>13708.2910041459</v>
      </c>
      <c r="E46" s="27" t="n">
        <f aca="false">SUMIF($B$5:$B$40,$B46,E$5:E$40)</f>
        <v>182085.488386224</v>
      </c>
      <c r="F46" s="27" t="n">
        <f aca="false">SUMIF($B$5:$B$40,$B46,F$5:F$40)</f>
        <v>195793.77939037</v>
      </c>
      <c r="J46" s="27" t="n">
        <f aca="false">SUMIF($B$5:$B$40,$B46,J$5:J$40)</f>
        <v>7425.32429391236</v>
      </c>
      <c r="K46" s="27" t="n">
        <f aca="false">SUMIF($B$5:$B$40,$B46,K$5:K$40)</f>
        <v>98629.639542538</v>
      </c>
      <c r="L46" s="27" t="n">
        <f aca="false">SUMIF($B$5:$B$40,$B46,L$5:L$40)</f>
        <v>106054.96383645</v>
      </c>
    </row>
    <row r="47" customFormat="false" ht="15" hidden="false" customHeight="false" outlineLevel="0" collapsed="false">
      <c r="A47" s="7" t="s">
        <v>140</v>
      </c>
      <c r="B47" s="34" t="n">
        <v>4</v>
      </c>
      <c r="D47" s="27" t="n">
        <f aca="false">SUMIF($B$5:$B$40,$B47,D$5:D$40)</f>
        <v>0</v>
      </c>
      <c r="E47" s="27" t="n">
        <f aca="false">SUMIF($B$5:$B$40,$B47,E$5:E$40)</f>
        <v>0</v>
      </c>
      <c r="F47" s="27" t="n">
        <f aca="false">SUMIF($B$5:$B$40,$B47,F$5:F$40)</f>
        <v>0</v>
      </c>
      <c r="J47" s="27" t="n">
        <f aca="false">SUMIF($B$5:$B$40,$B47,J$5:J$40)</f>
        <v>0</v>
      </c>
      <c r="K47" s="27" t="n">
        <f aca="false">SUMIF($B$5:$B$40,$B47,K$5:K$40)</f>
        <v>0</v>
      </c>
      <c r="L47" s="27" t="n">
        <f aca="false">SUMIF($B$5:$B$40,$B47,L$5:L$40)</f>
        <v>0</v>
      </c>
    </row>
    <row r="48" customFormat="false" ht="15" hidden="false" customHeight="false" outlineLevel="0" collapsed="false">
      <c r="A48" s="7" t="s">
        <v>141</v>
      </c>
      <c r="B48" s="34" t="n">
        <v>5</v>
      </c>
      <c r="D48" s="27" t="n">
        <f aca="false">SUMIF($B$5:$B$40,$B48,D$5:D$40)</f>
        <v>0</v>
      </c>
      <c r="E48" s="27" t="n">
        <f aca="false">SUMIF($B$5:$B$40,$B48,E$5:E$40)</f>
        <v>0</v>
      </c>
      <c r="F48" s="27" t="n">
        <f aca="false">SUMIF($B$5:$B$40,$B48,F$5:F$40)</f>
        <v>0</v>
      </c>
      <c r="J48" s="27" t="n">
        <f aca="false">SUMIF($B$5:$B$40,$B48,J$5:J$40)</f>
        <v>0</v>
      </c>
      <c r="K48" s="27" t="n">
        <f aca="false">SUMIF($B$5:$B$40,$B48,K$5:K$40)</f>
        <v>0</v>
      </c>
      <c r="L48" s="27" t="n">
        <f aca="false">SUMIF($B$5:$B$40,$B48,L$5:L$40)</f>
        <v>0</v>
      </c>
    </row>
    <row r="49" customFormat="false" ht="15" hidden="false" customHeight="false" outlineLevel="0" collapsed="false">
      <c r="A49" s="4" t="s">
        <v>345</v>
      </c>
      <c r="D49" s="6" t="n">
        <f aca="false">SUM(D44:D48)</f>
        <v>107381.33817111</v>
      </c>
      <c r="E49" s="6" t="n">
        <f aca="false">SUM(E44:E48)</f>
        <v>480000</v>
      </c>
      <c r="F49" s="6" t="n">
        <f aca="false">SUM(F44:F48)</f>
        <v>587381.33817111</v>
      </c>
      <c r="J49" s="6" t="n">
        <f aca="false">SUM(J44:J48)</f>
        <v>58164.8915093511</v>
      </c>
      <c r="K49" s="6" t="n">
        <f aca="false">SUM(K44:K48)</f>
        <v>260000</v>
      </c>
      <c r="L49" s="6" t="n">
        <f aca="false">SUM(L44:L48)</f>
        <v>318164.891509351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5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370</v>
      </c>
    </row>
    <row r="2" customFormat="false" ht="15" hidden="false" customHeight="false" outlineLevel="0" collapsed="false">
      <c r="A2" s="2" t="s">
        <v>371</v>
      </c>
    </row>
    <row r="3" customFormat="false" ht="15" hidden="false" customHeight="false" outlineLevel="0" collapsed="false">
      <c r="I3" s="39" t="s">
        <v>372</v>
      </c>
      <c r="AF3" s="39" t="s">
        <v>373</v>
      </c>
    </row>
    <row r="4" customFormat="false" ht="15" hidden="false" customHeight="false" outlineLevel="0" collapsed="false">
      <c r="A4" s="3" t="s">
        <v>134</v>
      </c>
      <c r="B4" s="3" t="s">
        <v>374</v>
      </c>
      <c r="C4" s="3" t="s">
        <v>137</v>
      </c>
      <c r="D4" s="3" t="s">
        <v>138</v>
      </c>
      <c r="E4" s="3" t="s">
        <v>139</v>
      </c>
      <c r="F4" s="3" t="s">
        <v>140</v>
      </c>
      <c r="G4" s="3" t="s">
        <v>141</v>
      </c>
      <c r="J4" s="40" t="n">
        <v>-0.4</v>
      </c>
      <c r="K4" s="40" t="n">
        <v>-0.35</v>
      </c>
      <c r="L4" s="40" t="n">
        <v>-0.3</v>
      </c>
      <c r="M4" s="40" t="n">
        <v>-0.25</v>
      </c>
      <c r="N4" s="40" t="n">
        <v>-0.2</v>
      </c>
      <c r="O4" s="40" t="n">
        <v>-0.15</v>
      </c>
      <c r="P4" s="40" t="n">
        <v>-0.1</v>
      </c>
      <c r="Q4" s="40" t="n">
        <v>-0.05</v>
      </c>
      <c r="R4" s="40" t="n">
        <v>0</v>
      </c>
      <c r="S4" s="40" t="n">
        <v>0.05</v>
      </c>
      <c r="T4" s="40" t="n">
        <v>0.1</v>
      </c>
      <c r="U4" s="40" t="n">
        <v>0.15</v>
      </c>
      <c r="V4" s="40" t="n">
        <v>0.2</v>
      </c>
      <c r="W4" s="40" t="n">
        <v>0.25</v>
      </c>
      <c r="X4" s="40" t="n">
        <v>0.3</v>
      </c>
      <c r="Y4" s="40" t="n">
        <v>0.35</v>
      </c>
      <c r="Z4" s="40" t="n">
        <v>0.4</v>
      </c>
      <c r="AA4" s="40" t="n">
        <v>0.45</v>
      </c>
      <c r="AB4" s="40" t="n">
        <v>0.5</v>
      </c>
      <c r="AC4" s="40" t="n">
        <v>0.55</v>
      </c>
      <c r="AD4" s="40" t="n">
        <v>0.6</v>
      </c>
    </row>
    <row r="5" customFormat="false" ht="15" hidden="false" customHeight="false" outlineLevel="0" collapsed="false">
      <c r="A5" s="7" t="s">
        <v>375</v>
      </c>
      <c r="B5" s="34" t="n">
        <v>0</v>
      </c>
      <c r="C5" s="34" t="n">
        <v>1</v>
      </c>
      <c r="D5" s="34" t="n">
        <v>2</v>
      </c>
      <c r="E5" s="34" t="n">
        <v>3</v>
      </c>
      <c r="F5" s="34" t="n">
        <v>4</v>
      </c>
      <c r="G5" s="34" t="n">
        <v>5</v>
      </c>
      <c r="I5" s="39" t="s">
        <v>376</v>
      </c>
      <c r="J5" s="41" t="n">
        <f aca="false">SUMPRODUCT($B$26:$G$26,(1+J$4)^(-$B$5:$G$5))</f>
        <v>2546750.20091318</v>
      </c>
      <c r="K5" s="41" t="n">
        <f aca="false">SUMPRODUCT($B$26:$G$26,(1+K$4)^(-$B$5:$G$5))</f>
        <v>1651425.57449659</v>
      </c>
      <c r="L5" s="41" t="n">
        <f aca="false">SUMPRODUCT($B$26:$G$26,(1+L$4)^(-$B$5:$G$5))</f>
        <v>1080618.29365859</v>
      </c>
      <c r="M5" s="41" t="n">
        <f aca="false">SUMPRODUCT($B$26:$G$26,(1+M$4)^(-$B$5:$G$5))</f>
        <v>704323.722816472</v>
      </c>
      <c r="N5" s="41" t="n">
        <f aca="false">SUMPRODUCT($B$26:$G$26,(1+N$4)^(-$B$5:$G$5))</f>
        <v>448973.636728882</v>
      </c>
      <c r="O5" s="41" t="n">
        <f aca="false">SUMPRODUCT($B$26:$G$26,(1+O$4)^(-$B$5:$G$5))</f>
        <v>271259.0978653</v>
      </c>
      <c r="P5" s="41" t="n">
        <f aca="false">SUMPRODUCT($B$26:$G$26,(1+P$4)^(-$B$5:$G$5))</f>
        <v>144791.509831016</v>
      </c>
      <c r="Q5" s="41" t="n">
        <f aca="false">SUMPRODUCT($B$26:$G$26,(1+Q$4)^(-$B$5:$G$5))</f>
        <v>52997.7388749962</v>
      </c>
      <c r="R5" s="41" t="n">
        <f aca="false">SUMPRODUCT($B$26:$G$26,(1+R$4)^(-$B$5:$G$5))</f>
        <v>-14813.9936476834</v>
      </c>
      <c r="S5" s="41" t="n">
        <f aca="false">SUMPRODUCT($B$26:$G$26,(1+S$4)^(-$B$5:$G$5))</f>
        <v>-65708.5142281309</v>
      </c>
      <c r="T5" s="41" t="n">
        <f aca="false">SUMPRODUCT($B$26:$G$26,(1+T$4)^(-$B$5:$G$5))</f>
        <v>-104455.625397776</v>
      </c>
      <c r="U5" s="41" t="n">
        <f aca="false">SUMPRODUCT($B$26:$G$26,(1+U$4)^(-$B$5:$G$5))</f>
        <v>-134338.865362586</v>
      </c>
      <c r="V5" s="41" t="n">
        <f aca="false">SUMPRODUCT($B$26:$G$26,(1+V$4)^(-$B$5:$G$5))</f>
        <v>-157658.867517145</v>
      </c>
      <c r="W5" s="41" t="n">
        <f aca="false">SUMPRODUCT($B$26:$G$26,(1+W$4)^(-$B$5:$G$5))</f>
        <v>-176053.732056513</v>
      </c>
      <c r="X5" s="41" t="n">
        <f aca="false">SUMPRODUCT($B$26:$G$26,(1+X$4)^(-$B$5:$G$5))</f>
        <v>-190707.129383447</v>
      </c>
      <c r="Y5" s="41" t="n">
        <f aca="false">SUMPRODUCT($B$26:$G$26,(1+Y$4)^(-$B$5:$G$5))</f>
        <v>-202486.020533787</v>
      </c>
      <c r="Z5" s="41" t="n">
        <f aca="false">SUMPRODUCT($B$26:$G$26,(1+Z$4)^(-$B$5:$G$5))</f>
        <v>-212033.372073575</v>
      </c>
      <c r="AA5" s="41" t="n">
        <f aca="false">SUMPRODUCT($B$26:$G$26,(1+AA$4)^(-$B$5:$G$5))</f>
        <v>-219831.564849371</v>
      </c>
      <c r="AB5" s="41" t="n">
        <f aca="false">SUMPRODUCT($B$26:$G$26,(1+AB$4)^(-$B$5:$G$5))</f>
        <v>-226246.396792301</v>
      </c>
      <c r="AC5" s="41" t="n">
        <f aca="false">SUMPRODUCT($B$26:$G$26,(1+AC$4)^(-$B$5:$G$5))</f>
        <v>-231558.034485145</v>
      </c>
      <c r="AD5" s="41" t="n">
        <f aca="false">SUMPRODUCT($B$26:$G$26,(1+AD$4)^(-$B$5:$G$5))</f>
        <v>-235983.05989959</v>
      </c>
      <c r="AF5" s="41" t="n">
        <f aca="false">B26*B6</f>
        <v>-260000</v>
      </c>
      <c r="AG5" s="41" t="n">
        <f aca="false">C26*C6+AF5</f>
        <v>-272367.581185043</v>
      </c>
      <c r="AH5" s="41" t="n">
        <f aca="false">D26*D6+AG5</f>
        <v>-268108.748955327</v>
      </c>
      <c r="AI5" s="41" t="n">
        <f aca="false">E26*E6+AH5</f>
        <v>-250820.852227889</v>
      </c>
      <c r="AJ5" s="41" t="n">
        <f aca="false">F26*F6+AI5</f>
        <v>-226441.058299078</v>
      </c>
      <c r="AK5" s="41" t="n">
        <f aca="false">G26*G6+AJ5</f>
        <v>-139467.545255999</v>
      </c>
      <c r="AM5" s="42" t="str">
        <f aca="false">IF(AND(AF5&lt;0,AG5&gt;=0),0+(-AF5)/(C26*C6),"")</f>
        <v/>
      </c>
      <c r="AN5" s="42" t="str">
        <f aca="false">IF(AND(AG5&lt;0,AH5&gt;=0),1+(-AG5)/(D26*D6),"")</f>
        <v/>
      </c>
      <c r="AO5" s="42" t="str">
        <f aca="false">IF(AND(AH5&lt;0,AI5&gt;=0),2+(-AH5)/(E26*E6),"")</f>
        <v/>
      </c>
      <c r="AP5" s="42" t="str">
        <f aca="false">IF(AND(AI5&lt;0,AJ5&gt;=0),3+(-AI5)/(F26*F6),"")</f>
        <v/>
      </c>
      <c r="AQ5" s="42" t="str">
        <f aca="false">IF(AND(AJ5&lt;0,AK5&gt;=0),4+(-AJ5)/(G26*G6),"")</f>
        <v/>
      </c>
    </row>
    <row r="6" customFormat="false" ht="15" hidden="false" customHeight="false" outlineLevel="0" collapsed="false">
      <c r="A6" s="7" t="s">
        <v>377</v>
      </c>
      <c r="B6" s="35" t="n">
        <f aca="false">1/(1+Tasas!$C$10)^B5</f>
        <v>1</v>
      </c>
      <c r="C6" s="35" t="n">
        <f aca="false">1/(1+Tasas!$C$10)^C5</f>
        <v>0.862068965517241</v>
      </c>
      <c r="D6" s="35" t="n">
        <f aca="false">1/(1+Tasas!$C$10)^D5</f>
        <v>0.743162901307967</v>
      </c>
      <c r="E6" s="35" t="n">
        <f aca="false">1/(1+Tasas!$C$10)^E5</f>
        <v>0.640657673541351</v>
      </c>
      <c r="F6" s="35" t="n">
        <f aca="false">1/(1+Tasas!$C$10)^F5</f>
        <v>0.552291097880475</v>
      </c>
      <c r="G6" s="35" t="n">
        <f aca="false">1/(1+Tasas!$C$10)^G5</f>
        <v>0.476113015414203</v>
      </c>
      <c r="I6" s="39" t="s">
        <v>8</v>
      </c>
      <c r="J6" s="41" t="n">
        <f aca="false">SUMPRODUCT($B$42:$G$42,(1+J$4)^(-$B$5:$G$5))</f>
        <v>-1088728.16358025</v>
      </c>
      <c r="K6" s="41" t="n">
        <f aca="false">SUMPRODUCT($B$42:$G$42,(1+K$4)^(-$B$5:$G$5))</f>
        <v>-883297.300649352</v>
      </c>
      <c r="L6" s="41" t="n">
        <f aca="false">SUMPRODUCT($B$42:$G$42,(1+L$4)^(-$B$5:$G$5))</f>
        <v>-738551.359552568</v>
      </c>
      <c r="M6" s="41" t="n">
        <f aca="false">SUMPRODUCT($B$42:$G$42,(1+M$4)^(-$B$5:$G$5))</f>
        <v>-633191.481481482</v>
      </c>
      <c r="N6" s="41" t="n">
        <f aca="false">SUMPRODUCT($B$42:$G$42,(1+N$4)^(-$B$5:$G$5))</f>
        <v>-554328.22265625</v>
      </c>
      <c r="O6" s="41" t="n">
        <f aca="false">SUMPRODUCT($B$42:$G$42,(1+O$4)^(-$B$5:$G$5))</f>
        <v>-493852.892685672</v>
      </c>
      <c r="P6" s="41" t="n">
        <f aca="false">SUMPRODUCT($B$42:$G$42,(1+P$4)^(-$B$5:$G$5))</f>
        <v>-446489.363918102</v>
      </c>
      <c r="Q6" s="41" t="n">
        <f aca="false">SUMPRODUCT($B$42:$G$42,(1+Q$4)^(-$B$5:$G$5))</f>
        <v>-408701.449194883</v>
      </c>
      <c r="R6" s="41" t="n">
        <f aca="false">SUMPRODUCT($B$42:$G$42,(1+R$4)^(-$B$5:$G$5))</f>
        <v>-378056.25</v>
      </c>
      <c r="S6" s="41" t="n">
        <f aca="false">SUMPRODUCT($B$42:$G$42,(1+S$4)^(-$B$5:$G$5))</f>
        <v>-352840.462233916</v>
      </c>
      <c r="T6" s="41" t="n">
        <f aca="false">SUMPRODUCT($B$42:$G$42,(1+T$4)^(-$B$5:$G$5))</f>
        <v>-331822.088655147</v>
      </c>
      <c r="U6" s="41" t="n">
        <f aca="false">SUMPRODUCT($B$42:$G$42,(1+U$4)^(-$B$5:$G$5))</f>
        <v>-314098.42384876</v>
      </c>
      <c r="V6" s="41" t="n">
        <f aca="false">SUMPRODUCT($B$42:$G$42,(1+V$4)^(-$B$5:$G$5))</f>
        <v>-298996.701388889</v>
      </c>
      <c r="W6" s="41" t="n">
        <f aca="false">SUMPRODUCT($B$42:$G$42,(1+W$4)^(-$B$5:$G$5))</f>
        <v>-286007.7216</v>
      </c>
      <c r="X6" s="41" t="n">
        <f aca="false">SUMPRODUCT($B$42:$G$42,(1+X$4)^(-$B$5:$G$5))</f>
        <v>-274740.619806999</v>
      </c>
      <c r="Y6" s="41" t="n">
        <f aca="false">SUMPRODUCT($B$42:$G$42,(1+Y$4)^(-$B$5:$G$5))</f>
        <v>-264891.475681737</v>
      </c>
      <c r="Z6" s="41" t="n">
        <f aca="false">SUMPRODUCT($B$42:$G$42,(1+Z$4)^(-$B$5:$G$5))</f>
        <v>-256221.161941453</v>
      </c>
      <c r="AA6" s="41" t="n">
        <f aca="false">SUMPRODUCT($B$42:$G$42,(1+AA$4)^(-$B$5:$G$5))</f>
        <v>-248539.471321182</v>
      </c>
      <c r="AB6" s="41" t="n">
        <f aca="false">SUMPRODUCT($B$42:$G$42,(1+AB$4)^(-$B$5:$G$5))</f>
        <v>-241693.580246914</v>
      </c>
      <c r="AC6" s="41" t="n">
        <f aca="false">SUMPRODUCT($B$42:$G$42,(1+AC$4)^(-$B$5:$G$5))</f>
        <v>-235559.553814572</v>
      </c>
      <c r="AD6" s="41" t="n">
        <f aca="false">SUMPRODUCT($B$42:$G$42,(1+AD$4)^(-$B$5:$G$5))</f>
        <v>-230036.013793945</v>
      </c>
      <c r="AF6" s="41" t="n">
        <f aca="false">B42*B6</f>
        <v>-130000</v>
      </c>
      <c r="AG6" s="41" t="n">
        <f aca="false">C42*C6+AF6</f>
        <v>-208325.431034483</v>
      </c>
      <c r="AH6" s="41" t="n">
        <f aca="false">D42*D6+AG6</f>
        <v>-258331.933709869</v>
      </c>
      <c r="AI6" s="41" t="n">
        <f aca="false">E42*E6+AH6</f>
        <v>-285540.66510517</v>
      </c>
      <c r="AJ6" s="41" t="n">
        <f aca="false">F42*F6+AI6</f>
        <v>-305544.648670401</v>
      </c>
      <c r="AK6" s="41" t="n">
        <f aca="false">G42*G6+AJ6</f>
        <v>-310886.636703349</v>
      </c>
      <c r="AM6" s="42" t="str">
        <f aca="false">IF(AND(AF6&lt;0,AG6&gt;=0),0+(-AF6)/(C42*C6),"")</f>
        <v/>
      </c>
      <c r="AN6" s="42" t="str">
        <f aca="false">IF(AND(AG6&lt;0,AH6&gt;=0),1+(-AG6)/(D42*D6),"")</f>
        <v/>
      </c>
      <c r="AO6" s="42" t="str">
        <f aca="false">IF(AND(AH6&lt;0,AI6&gt;=0),2+(-AH6)/(E42*E6),"")</f>
        <v/>
      </c>
      <c r="AP6" s="42" t="str">
        <f aca="false">IF(AND(AI6&lt;0,AJ6&gt;=0),3+(-AI6)/(F42*F6),"")</f>
        <v/>
      </c>
      <c r="AQ6" s="42" t="str">
        <f aca="false">IF(AND(AJ6&lt;0,AK6&gt;=0),4+(-AJ6)/(G42*G6),"")</f>
        <v/>
      </c>
    </row>
    <row r="7" customFormat="false" ht="15" hidden="false" customHeight="false" outlineLevel="0" collapsed="false">
      <c r="A7" s="7" t="s">
        <v>378</v>
      </c>
      <c r="B7" s="35" t="n">
        <f aca="false">1/(1+Tasas!$C$13)^B5</f>
        <v>1</v>
      </c>
      <c r="C7" s="35" t="n">
        <f aca="false">1/(1+Tasas!$C$13)^C5</f>
        <v>0.815028901734104</v>
      </c>
      <c r="D7" s="35" t="n">
        <f aca="false">1/(1+Tasas!$C$13)^D5</f>
        <v>0.6642721106619</v>
      </c>
      <c r="E7" s="35" t="n">
        <f aca="false">1/(1+Tasas!$C$13)^E5</f>
        <v>0.541400968805364</v>
      </c>
      <c r="F7" s="35" t="n">
        <f aca="false">1/(1+Tasas!$C$13)^F5</f>
        <v>0.441257437003216</v>
      </c>
      <c r="G7" s="35" t="n">
        <f aca="false">1/(1+Tasas!$C$13)^G5</f>
        <v>0.359637564262736</v>
      </c>
      <c r="I7" s="39" t="s">
        <v>9</v>
      </c>
      <c r="J7" s="41" t="n">
        <f aca="false">SUMPRODUCT($B$57:$G$57,(1+J$4)^(-$B$5:$G$5))</f>
        <v>-428299.336419753</v>
      </c>
      <c r="K7" s="41" t="n">
        <f aca="false">SUMPRODUCT($B$57:$G$57,(1+K$4)^(-$B$5:$G$5))</f>
        <v>-372056.91146884</v>
      </c>
      <c r="L7" s="41" t="n">
        <f aca="false">SUMPRODUCT($B$57:$G$57,(1+L$4)^(-$B$5:$G$5))</f>
        <v>-329382.655441185</v>
      </c>
      <c r="M7" s="41" t="n">
        <f aca="false">SUMPRODUCT($B$57:$G$57,(1+M$4)^(-$B$5:$G$5))</f>
        <v>-296296.222222222</v>
      </c>
      <c r="N7" s="41" t="n">
        <f aca="false">SUMPRODUCT($B$57:$G$57,(1+N$4)^(-$B$5:$G$5))</f>
        <v>-270147.407226563</v>
      </c>
      <c r="O7" s="41" t="n">
        <f aca="false">SUMPRODUCT($B$57:$G$57,(1+O$4)^(-$B$5:$G$5))</f>
        <v>-249127.003656002</v>
      </c>
      <c r="P7" s="41" t="n">
        <f aca="false">SUMPRODUCT($B$57:$G$57,(1+P$4)^(-$B$5:$G$5))</f>
        <v>-231971.329573744</v>
      </c>
      <c r="Q7" s="41" t="n">
        <f aca="false">SUMPRODUCT($B$57:$G$57,(1+Q$4)^(-$B$5:$G$5))</f>
        <v>-217779.120071532</v>
      </c>
      <c r="R7" s="41" t="n">
        <f aca="false">SUMPRODUCT($B$57:$G$57,(1+R$4)^(-$B$5:$G$5))</f>
        <v>-205895.25</v>
      </c>
      <c r="S7" s="41" t="n">
        <f aca="false">SUMPRODUCT($B$57:$G$57,(1+S$4)^(-$B$5:$G$5))</f>
        <v>-195835.187726748</v>
      </c>
      <c r="T7" s="41" t="n">
        <f aca="false">SUMPRODUCT($B$57:$G$57,(1+T$4)^(-$B$5:$G$5))</f>
        <v>-187234.858460984</v>
      </c>
      <c r="U7" s="41" t="n">
        <f aca="false">SUMPRODUCT($B$57:$G$57,(1+U$4)^(-$B$5:$G$5))</f>
        <v>-179816.710239029</v>
      </c>
      <c r="V7" s="41" t="n">
        <f aca="false">SUMPRODUCT($B$57:$G$57,(1+V$4)^(-$B$5:$G$5))</f>
        <v>-173366.325231482</v>
      </c>
      <c r="W7" s="41" t="n">
        <f aca="false">SUMPRODUCT($B$57:$G$57,(1+W$4)^(-$B$5:$G$5))</f>
        <v>-167716.02624</v>
      </c>
      <c r="X7" s="41" t="n">
        <f aca="false">SUMPRODUCT($B$57:$G$57,(1+X$4)^(-$B$5:$G$5))</f>
        <v>-162733.206227966</v>
      </c>
      <c r="Y7" s="41" t="n">
        <f aca="false">SUMPRODUCT($B$57:$G$57,(1+Y$4)^(-$B$5:$G$5))</f>
        <v>-158311.899619253</v>
      </c>
      <c r="Z7" s="41" t="n">
        <f aca="false">SUMPRODUCT($B$57:$G$57,(1+Z$4)^(-$B$5:$G$5))</f>
        <v>-154366.612944011</v>
      </c>
      <c r="AA7" s="41" t="n">
        <f aca="false">SUMPRODUCT($B$57:$G$57,(1+AA$4)^(-$B$5:$G$5))</f>
        <v>-150827.752712927</v>
      </c>
      <c r="AB7" s="41" t="n">
        <f aca="false">SUMPRODUCT($B$57:$G$57,(1+AB$4)^(-$B$5:$G$5))</f>
        <v>-147638.197530864</v>
      </c>
      <c r="AC7" s="41" t="n">
        <f aca="false">SUMPRODUCT($B$57:$G$57,(1+AC$4)^(-$B$5:$G$5))</f>
        <v>-144750.700159778</v>
      </c>
      <c r="AD7" s="41" t="n">
        <f aca="false">SUMPRODUCT($B$57:$G$57,(1+AD$4)^(-$B$5:$G$5))</f>
        <v>-142125.898590088</v>
      </c>
      <c r="AF7" s="41" t="n">
        <f aca="false">B57*B6</f>
        <v>-90000</v>
      </c>
      <c r="AG7" s="41" t="n">
        <f aca="false">C57*C6+AF7</f>
        <v>-134126.293103448</v>
      </c>
      <c r="AH7" s="41" t="n">
        <f aca="false">D57*D6+AG7</f>
        <v>-160404.347502973</v>
      </c>
      <c r="AI7" s="41" t="n">
        <f aca="false">E57*E6+AH7</f>
        <v>-172117.491748329</v>
      </c>
      <c r="AJ7" s="41" t="n">
        <f aca="false">F57*F6+AI7</f>
        <v>-179867.792724886</v>
      </c>
      <c r="AK7" s="41" t="n">
        <f aca="false">G57*G6+AJ7</f>
        <v>-178455.165408152</v>
      </c>
      <c r="AM7" s="42" t="str">
        <f aca="false">IF(AND(AF7&lt;0,AG7&gt;=0),0+(-AF7)/(C57*C6),"")</f>
        <v/>
      </c>
      <c r="AN7" s="42" t="str">
        <f aca="false">IF(AND(AG7&lt;0,AH7&gt;=0),1+(-AG7)/(D57*D6),"")</f>
        <v/>
      </c>
      <c r="AO7" s="42" t="str">
        <f aca="false">IF(AND(AH7&lt;0,AI7&gt;=0),2+(-AH7)/(E57*E6),"")</f>
        <v/>
      </c>
      <c r="AP7" s="42" t="str">
        <f aca="false">IF(AND(AI7&lt;0,AJ7&gt;=0),3+(-AI7)/(F57*F6),"")</f>
        <v/>
      </c>
      <c r="AQ7" s="42" t="str">
        <f aca="false">IF(AND(AJ7&lt;0,AK7&gt;=0),4+(-AJ7)/(G57*G6),"")</f>
        <v/>
      </c>
    </row>
    <row r="8" customFormat="false" ht="15" hidden="false" customHeight="false" outlineLevel="0" collapsed="false">
      <c r="A8" s="7" t="s">
        <v>379</v>
      </c>
      <c r="C8" s="27" t="n">
        <f aca="false">Supuestos!$C$44*((1+Supuestos!$C$81)^1-1)</f>
        <v>39960</v>
      </c>
      <c r="D8" s="27" t="n">
        <f aca="false">Supuestos!$C$44*((1+Supuestos!$C$81)^2-1)</f>
        <v>83116.8000000001</v>
      </c>
      <c r="E8" s="27" t="n">
        <f aca="false">Supuestos!$C$44*((1+Supuestos!$C$81)^3-1)</f>
        <v>129726.144</v>
      </c>
      <c r="F8" s="27" t="n">
        <f aca="false">Supuestos!$C$44*((1+Supuestos!$C$81)^4-1)</f>
        <v>180064.23552</v>
      </c>
      <c r="G8" s="27" t="n">
        <f aca="false">Supuestos!$C$44*((1+Supuestos!$C$81)^5-1)</f>
        <v>234429.3743616</v>
      </c>
      <c r="I8" s="39" t="s">
        <v>10</v>
      </c>
      <c r="J8" s="41" t="n">
        <f aca="false">SUMPRODUCT($B$60:$G$60,(1+J$4)^(-$B$5:$G$5))</f>
        <v>-1517027.5</v>
      </c>
      <c r="K8" s="41" t="n">
        <f aca="false">SUMPRODUCT($B$60:$G$60,(1+K$4)^(-$B$5:$G$5))</f>
        <v>-1255354.21211819</v>
      </c>
      <c r="L8" s="41" t="n">
        <f aca="false">SUMPRODUCT($B$60:$G$60,(1+L$4)^(-$B$5:$G$5))</f>
        <v>-1067934.01499375</v>
      </c>
      <c r="M8" s="41" t="n">
        <f aca="false">SUMPRODUCT($B$60:$G$60,(1+M$4)^(-$B$5:$G$5))</f>
        <v>-929487.703703704</v>
      </c>
      <c r="N8" s="41" t="n">
        <f aca="false">SUMPRODUCT($B$60:$G$60,(1+N$4)^(-$B$5:$G$5))</f>
        <v>-824475.629882812</v>
      </c>
      <c r="O8" s="41" t="n">
        <f aca="false">SUMPRODUCT($B$60:$G$60,(1+O$4)^(-$B$5:$G$5))</f>
        <v>-742979.896341674</v>
      </c>
      <c r="P8" s="41" t="n">
        <f aca="false">SUMPRODUCT($B$60:$G$60,(1+P$4)^(-$B$5:$G$5))</f>
        <v>-678460.693491846</v>
      </c>
      <c r="Q8" s="41" t="n">
        <f aca="false">SUMPRODUCT($B$60:$G$60,(1+Q$4)^(-$B$5:$G$5))</f>
        <v>-626480.569266415</v>
      </c>
      <c r="R8" s="41" t="n">
        <f aca="false">SUMPRODUCT($B$60:$G$60,(1+R$4)^(-$B$5:$G$5))</f>
        <v>-583951.5</v>
      </c>
      <c r="S8" s="41" t="n">
        <f aca="false">SUMPRODUCT($B$60:$G$60,(1+S$4)^(-$B$5:$G$5))</f>
        <v>-548675.649960665</v>
      </c>
      <c r="T8" s="41" t="n">
        <f aca="false">SUMPRODUCT($B$60:$G$60,(1+T$4)^(-$B$5:$G$5))</f>
        <v>-519056.947116131</v>
      </c>
      <c r="U8" s="41" t="n">
        <f aca="false">SUMPRODUCT($B$60:$G$60,(1+U$4)^(-$B$5:$G$5))</f>
        <v>-493915.134087789</v>
      </c>
      <c r="V8" s="41" t="n">
        <f aca="false">SUMPRODUCT($B$60:$G$60,(1+V$4)^(-$B$5:$G$5))</f>
        <v>-472363.02662037</v>
      </c>
      <c r="W8" s="41" t="n">
        <f aca="false">SUMPRODUCT($B$60:$G$60,(1+W$4)^(-$B$5:$G$5))</f>
        <v>-453723.74784</v>
      </c>
      <c r="X8" s="41" t="n">
        <f aca="false">SUMPRODUCT($B$60:$G$60,(1+X$4)^(-$B$5:$G$5))</f>
        <v>-437473.826034964</v>
      </c>
      <c r="Y8" s="41" t="n">
        <f aca="false">SUMPRODUCT($B$60:$G$60,(1+Y$4)^(-$B$5:$G$5))</f>
        <v>-423203.37530099</v>
      </c>
      <c r="Z8" s="41" t="n">
        <f aca="false">SUMPRODUCT($B$60:$G$60,(1+Z$4)^(-$B$5:$G$5))</f>
        <v>-410587.774885464</v>
      </c>
      <c r="AA8" s="41" t="n">
        <f aca="false">SUMPRODUCT($B$60:$G$60,(1+AA$4)^(-$B$5:$G$5))</f>
        <v>-399367.22403411</v>
      </c>
      <c r="AB8" s="41" t="n">
        <f aca="false">SUMPRODUCT($B$60:$G$60,(1+AB$4)^(-$B$5:$G$5))</f>
        <v>-389331.777777778</v>
      </c>
      <c r="AC8" s="41" t="n">
        <f aca="false">SUMPRODUCT($B$60:$G$60,(1+AC$4)^(-$B$5:$G$5))</f>
        <v>-380310.253974349</v>
      </c>
      <c r="AD8" s="41" t="n">
        <f aca="false">SUMPRODUCT($B$60:$G$60,(1+AD$4)^(-$B$5:$G$5))</f>
        <v>-372161.912384033</v>
      </c>
      <c r="AF8" s="41" t="n">
        <f aca="false">B60*B6</f>
        <v>-220000</v>
      </c>
      <c r="AG8" s="41" t="n">
        <f aca="false">C60*C6+AF8</f>
        <v>-342451.724137931</v>
      </c>
      <c r="AH8" s="41" t="n">
        <f aca="false">D60*D6+AG8</f>
        <v>-418736.281212842</v>
      </c>
      <c r="AI8" s="41" t="n">
        <f aca="false">E60*E6+AH8</f>
        <v>-457658.1568535</v>
      </c>
      <c r="AJ8" s="41" t="n">
        <f aca="false">F60*F6+AI8</f>
        <v>-485412.441395287</v>
      </c>
      <c r="AK8" s="41" t="n">
        <f aca="false">G60*G6+AJ8</f>
        <v>-489341.8021115</v>
      </c>
      <c r="AM8" s="42" t="str">
        <f aca="false">IF(AND(AF8&lt;0,AG8&gt;=0),0+(-AF8)/(C60*C6),"")</f>
        <v/>
      </c>
      <c r="AN8" s="42" t="str">
        <f aca="false">IF(AND(AG8&lt;0,AH8&gt;=0),1+(-AG8)/(D60*D6),"")</f>
        <v/>
      </c>
      <c r="AO8" s="42" t="str">
        <f aca="false">IF(AND(AH8&lt;0,AI8&gt;=0),2+(-AH8)/(E60*E6),"")</f>
        <v/>
      </c>
      <c r="AP8" s="42" t="str">
        <f aca="false">IF(AND(AI8&lt;0,AJ8&gt;=0),3+(-AI8)/(F60*F6),"")</f>
        <v/>
      </c>
      <c r="AQ8" s="42" t="str">
        <f aca="false">IF(AND(AJ8&lt;0,AK8&gt;=0),4+(-AJ8)/(G60*G6),"")</f>
        <v/>
      </c>
    </row>
    <row r="9" customFormat="false" ht="15" hidden="false" customHeight="false" outlineLevel="0" collapsed="false">
      <c r="A9" s="7" t="s">
        <v>380</v>
      </c>
      <c r="C9" s="27" t="n">
        <f aca="false">Costos_Margenes!$D$24+C8/Supuestos!$C$31+C10/Supuestos!$C$35</f>
        <v>10951.5747543018</v>
      </c>
      <c r="D9" s="27" t="n">
        <f aca="false">Costos_Margenes!$D$24+D8/Supuestos!$C$31+D10/Supuestos!$C$35</f>
        <v>11437.1652332909</v>
      </c>
      <c r="E9" s="27" t="n">
        <f aca="false">Costos_Margenes!$D$24+E8/Supuestos!$C$31+E10/Supuestos!$C$35</f>
        <v>11943.5541701113</v>
      </c>
      <c r="F9" s="27" t="n">
        <f aca="false">Costos_Margenes!$D$24+F8/Supuestos!$C$31+F10/Supuestos!$C$35</f>
        <v>12246.7956852921</v>
      </c>
      <c r="G9" s="27" t="n">
        <f aca="false">Costos_Margenes!$D$24+G8/Supuestos!$C$31+G10/Supuestos!$C$35</f>
        <v>12574.2965216872</v>
      </c>
      <c r="I9" s="39" t="s">
        <v>381</v>
      </c>
      <c r="J9" s="41" t="n">
        <f aca="false">SUMPRODUCT($B$61:$G$61,(1+J$4)^(-$B$5:$G$5))</f>
        <v>1029722.70091318</v>
      </c>
      <c r="K9" s="41" t="n">
        <f aca="false">SUMPRODUCT($B$61:$G$61,(1+K$4)^(-$B$5:$G$5))</f>
        <v>396071.362378398</v>
      </c>
      <c r="L9" s="41" t="n">
        <f aca="false">SUMPRODUCT($B$61:$G$61,(1+L$4)^(-$B$5:$G$5))</f>
        <v>12684.2786648389</v>
      </c>
      <c r="M9" s="41" t="n">
        <f aca="false">SUMPRODUCT($B$61:$G$61,(1+M$4)^(-$B$5:$G$5))</f>
        <v>-225163.980887232</v>
      </c>
      <c r="N9" s="41" t="n">
        <f aca="false">SUMPRODUCT($B$61:$G$61,(1+N$4)^(-$B$5:$G$5))</f>
        <v>-375501.993153931</v>
      </c>
      <c r="O9" s="41" t="n">
        <f aca="false">SUMPRODUCT($B$61:$G$61,(1+O$4)^(-$B$5:$G$5))</f>
        <v>-471720.798476374</v>
      </c>
      <c r="P9" s="41" t="n">
        <f aca="false">SUMPRODUCT($B$61:$G$61,(1+P$4)^(-$B$5:$G$5))</f>
        <v>-533669.183660829</v>
      </c>
      <c r="Q9" s="41" t="n">
        <f aca="false">SUMPRODUCT($B$61:$G$61,(1+Q$4)^(-$B$5:$G$5))</f>
        <v>-573482.830391418</v>
      </c>
      <c r="R9" s="41" t="n">
        <f aca="false">SUMPRODUCT($B$61:$G$61,(1+R$4)^(-$B$5:$G$5))</f>
        <v>-598765.493647683</v>
      </c>
      <c r="S9" s="41" t="n">
        <f aca="false">SUMPRODUCT($B$61:$G$61,(1+S$4)^(-$B$5:$G$5))</f>
        <v>-614384.164188795</v>
      </c>
      <c r="T9" s="41" t="n">
        <f aca="false">SUMPRODUCT($B$61:$G$61,(1+T$4)^(-$B$5:$G$5))</f>
        <v>-623512.572513907</v>
      </c>
      <c r="U9" s="41" t="n">
        <f aca="false">SUMPRODUCT($B$61:$G$61,(1+U$4)^(-$B$5:$G$5))</f>
        <v>-628253.999450375</v>
      </c>
      <c r="V9" s="41" t="n">
        <f aca="false">SUMPRODUCT($B$61:$G$61,(1+V$4)^(-$B$5:$G$5))</f>
        <v>-630021.894137516</v>
      </c>
      <c r="W9" s="41" t="n">
        <f aca="false">SUMPRODUCT($B$61:$G$61,(1+W$4)^(-$B$5:$G$5))</f>
        <v>-629777.479896513</v>
      </c>
      <c r="X9" s="41" t="n">
        <f aca="false">SUMPRODUCT($B$61:$G$61,(1+X$4)^(-$B$5:$G$5))</f>
        <v>-628180.955418412</v>
      </c>
      <c r="Y9" s="41" t="n">
        <f aca="false">SUMPRODUCT($B$61:$G$61,(1+Y$4)^(-$B$5:$G$5))</f>
        <v>-625689.395834777</v>
      </c>
      <c r="Z9" s="41" t="n">
        <f aca="false">SUMPRODUCT($B$61:$G$61,(1+Z$4)^(-$B$5:$G$5))</f>
        <v>-622621.14695904</v>
      </c>
      <c r="AA9" s="41" t="n">
        <f aca="false">SUMPRODUCT($B$61:$G$61,(1+AA$4)^(-$B$5:$G$5))</f>
        <v>-619198.78888348</v>
      </c>
      <c r="AB9" s="41" t="n">
        <f aca="false">SUMPRODUCT($B$61:$G$61,(1+AB$4)^(-$B$5:$G$5))</f>
        <v>-615578.174570079</v>
      </c>
      <c r="AC9" s="41" t="n">
        <f aca="false">SUMPRODUCT($B$61:$G$61,(1+AC$4)^(-$B$5:$G$5))</f>
        <v>-611868.288459495</v>
      </c>
      <c r="AD9" s="41" t="n">
        <f aca="false">SUMPRODUCT($B$61:$G$61,(1+AD$4)^(-$B$5:$G$5))</f>
        <v>-608144.972283623</v>
      </c>
      <c r="AF9" s="41" t="n">
        <f aca="false">B61*B6</f>
        <v>-480000</v>
      </c>
      <c r="AG9" s="41" t="n">
        <f aca="false">C61*C6+AF9</f>
        <v>-614819.305322974</v>
      </c>
      <c r="AH9" s="41" t="n">
        <f aca="false">D61*D6+AG9</f>
        <v>-686845.030168168</v>
      </c>
      <c r="AI9" s="41" t="n">
        <f aca="false">E61*E6+AH9</f>
        <v>-708479.009081389</v>
      </c>
      <c r="AJ9" s="41" t="n">
        <f aca="false">F61*F6+AI9</f>
        <v>-711853.499694365</v>
      </c>
      <c r="AK9" s="41" t="n">
        <f aca="false">G61*G6+AJ9</f>
        <v>-628809.3473675</v>
      </c>
      <c r="AM9" s="42" t="str">
        <f aca="false">IF(AND(AF9&lt;0,AG9&gt;=0),0+(-AF9)/(C61*C6),"")</f>
        <v/>
      </c>
      <c r="AN9" s="42" t="str">
        <f aca="false">IF(AND(AG9&lt;0,AH9&gt;=0),1+(-AG9)/(D61*D6),"")</f>
        <v/>
      </c>
      <c r="AO9" s="42" t="str">
        <f aca="false">IF(AND(AH9&lt;0,AI9&gt;=0),2+(-AH9)/(E61*E6),"")</f>
        <v/>
      </c>
      <c r="AP9" s="42" t="str">
        <f aca="false">IF(AND(AI9&lt;0,AJ9&gt;=0),3+(-AI9)/(F61*F6),"")</f>
        <v/>
      </c>
      <c r="AQ9" s="42" t="str">
        <f aca="false">IF(AND(AJ9&lt;0,AK9&gt;=0),4+(-AJ9)/(G61*G6),"")</f>
        <v/>
      </c>
    </row>
    <row r="10" customFormat="false" ht="15" hidden="false" customHeight="false" outlineLevel="0" collapsed="false">
      <c r="A10" s="7" t="s">
        <v>382</v>
      </c>
      <c r="C10" s="27" t="n">
        <f aca="false">Supuestos!$C$45*Supuestos!$C$82*MIN(1/3,1)</f>
        <v>23125</v>
      </c>
      <c r="D10" s="27" t="n">
        <f aca="false">Supuestos!$C$45*Supuestos!$C$82*MIN(2/3,1)</f>
        <v>46250</v>
      </c>
      <c r="E10" s="27" t="n">
        <f aca="false">Supuestos!$C$45*Supuestos!$C$82*MIN(3/3,1)</f>
        <v>69375</v>
      </c>
      <c r="F10" s="27" t="n">
        <f aca="false">Supuestos!$C$45*Supuestos!$C$82*MIN(4/3,1)</f>
        <v>69375</v>
      </c>
      <c r="G10" s="27" t="n">
        <f aca="false">Supuestos!$C$45*Supuestos!$C$82*MIN(5/3,1)</f>
        <v>69375</v>
      </c>
      <c r="I10" s="39" t="s">
        <v>383</v>
      </c>
      <c r="J10" s="41" t="n">
        <f aca="false">SUMPRODUCT($B$70:$G$70,(1+J$4)^(-$B$5:$G$5))</f>
        <v>-113093.827194658</v>
      </c>
      <c r="K10" s="41" t="n">
        <f aca="false">SUMPRODUCT($B$70:$G$70,(1+K$4)^(-$B$5:$G$5))</f>
        <v>-472623.020055156</v>
      </c>
      <c r="L10" s="41" t="n">
        <f aca="false">SUMPRODUCT($B$70:$G$70,(1+L$4)^(-$B$5:$G$5))</f>
        <v>-647605.816148781</v>
      </c>
      <c r="M10" s="41" t="n">
        <f aca="false">SUMPRODUCT($B$70:$G$70,(1+M$4)^(-$B$5:$G$5))</f>
        <v>-723490.009466937</v>
      </c>
      <c r="N10" s="41" t="n">
        <f aca="false">SUMPRODUCT($B$70:$G$70,(1+N$4)^(-$B$5:$G$5))</f>
        <v>-745542.163337113</v>
      </c>
      <c r="O10" s="41" t="n">
        <f aca="false">SUMPRODUCT($B$70:$G$70,(1+O$4)^(-$B$5:$G$5))</f>
        <v>-738453.668822395</v>
      </c>
      <c r="P10" s="41" t="n">
        <f aca="false">SUMPRODUCT($B$70:$G$70,(1+P$4)^(-$B$5:$G$5))</f>
        <v>-715989.573111372</v>
      </c>
      <c r="Q10" s="41" t="n">
        <f aca="false">SUMPRODUCT($B$70:$G$70,(1+Q$4)^(-$B$5:$G$5))</f>
        <v>-685934.542720768</v>
      </c>
      <c r="R10" s="41" t="n">
        <f aca="false">SUMPRODUCT($B$70:$G$70,(1+R$4)^(-$B$5:$G$5))</f>
        <v>-652717.986495724</v>
      </c>
      <c r="S10" s="41" t="n">
        <f aca="false">SUMPRODUCT($B$70:$G$70,(1+S$4)^(-$B$5:$G$5))</f>
        <v>-618849.497849039</v>
      </c>
      <c r="T10" s="41" t="n">
        <f aca="false">SUMPRODUCT($B$70:$G$70,(1+T$4)^(-$B$5:$G$5))</f>
        <v>-585723.957900514</v>
      </c>
      <c r="U10" s="41" t="n">
        <f aca="false">SUMPRODUCT($B$70:$G$70,(1+U$4)^(-$B$5:$G$5))</f>
        <v>-554082.88680893</v>
      </c>
      <c r="V10" s="41" t="n">
        <f aca="false">SUMPRODUCT($B$70:$G$70,(1+V$4)^(-$B$5:$G$5))</f>
        <v>-524283.553404903</v>
      </c>
      <c r="W10" s="41" t="n">
        <f aca="false">SUMPRODUCT($B$70:$G$70,(1+W$4)^(-$B$5:$G$5))</f>
        <v>-496458.193321093</v>
      </c>
      <c r="X10" s="41" t="n">
        <f aca="false">SUMPRODUCT($B$70:$G$70,(1+X$4)^(-$B$5:$G$5))</f>
        <v>-470609.208782752</v>
      </c>
      <c r="Y10" s="41" t="n">
        <f aca="false">SUMPRODUCT($B$70:$G$70,(1+Y$4)^(-$B$5:$G$5))</f>
        <v>-446666.466369253</v>
      </c>
      <c r="Z10" s="41" t="n">
        <f aca="false">SUMPRODUCT($B$70:$G$70,(1+Z$4)^(-$B$5:$G$5))</f>
        <v>-424521.850396287</v>
      </c>
      <c r="AA10" s="41" t="n">
        <f aca="false">SUMPRODUCT($B$70:$G$70,(1+AA$4)^(-$B$5:$G$5))</f>
        <v>-404050.019713144</v>
      </c>
      <c r="AB10" s="41" t="n">
        <f aca="false">SUMPRODUCT($B$70:$G$70,(1+AB$4)^(-$B$5:$G$5))</f>
        <v>-385120.728639736</v>
      </c>
      <c r="AC10" s="41" t="n">
        <f aca="false">SUMPRODUCT($B$70:$G$70,(1+AC$4)^(-$B$5:$G$5))</f>
        <v>-367605.964783979</v>
      </c>
      <c r="AD10" s="41" t="n">
        <f aca="false">SUMPRODUCT($B$70:$G$70,(1+AD$4)^(-$B$5:$G$5))</f>
        <v>-351383.898529063</v>
      </c>
      <c r="AF10" s="41" t="n">
        <f aca="false">B70*B6</f>
        <v>0</v>
      </c>
      <c r="AG10" s="41" t="n">
        <f aca="false">C70*C6+AF10</f>
        <v>-286109.484759982</v>
      </c>
      <c r="AH10" s="41" t="n">
        <f aca="false">D70*D6+AG10</f>
        <v>-490244.108168482</v>
      </c>
      <c r="AI10" s="41" t="n">
        <f aca="false">E70*E6+AH10</f>
        <v>-627638.618721432</v>
      </c>
      <c r="AJ10" s="41" t="n">
        <f aca="false">F70*F6+AI10</f>
        <v>-631013.109334408</v>
      </c>
      <c r="AK10" s="41" t="n">
        <f aca="false">G70*G6+AJ10</f>
        <v>-547968.957007543</v>
      </c>
      <c r="AM10" s="42" t="str">
        <f aca="false">IF(AND(AF10&lt;0,AG10&gt;=0),0+(-AF10)/(C70*C6),"")</f>
        <v/>
      </c>
      <c r="AN10" s="42" t="str">
        <f aca="false">IF(AND(AG10&lt;0,AH10&gt;=0),1+(-AG10)/(D70*D6),"")</f>
        <v/>
      </c>
      <c r="AO10" s="42" t="str">
        <f aca="false">IF(AND(AH10&lt;0,AI10&gt;=0),2+(-AH10)/(E70*E6),"")</f>
        <v/>
      </c>
      <c r="AP10" s="42" t="str">
        <f aca="false">IF(AND(AI10&lt;0,AJ10&gt;=0),3+(-AI10)/(F70*F6),"")</f>
        <v/>
      </c>
      <c r="AQ10" s="42" t="str">
        <f aca="false">IF(AND(AJ10&lt;0,AK10&gt;=0),4+(-AJ10)/(G70*G6),"")</f>
        <v/>
      </c>
    </row>
    <row r="11" customFormat="false" ht="15" hidden="false" customHeight="false" outlineLevel="0" collapsed="false">
      <c r="A11" s="7" t="s">
        <v>384</v>
      </c>
      <c r="C11" s="27" t="n">
        <f aca="false">C8*Costos_Margenes!$J$16</f>
        <v>19021.9228915663</v>
      </c>
      <c r="D11" s="27" t="n">
        <f aca="false">D8*Costos_Margenes!$J$16</f>
        <v>39565.5996144579</v>
      </c>
      <c r="E11" s="27" t="n">
        <f aca="false">E8*Costos_Margenes!$J$16</f>
        <v>61752.7704751808</v>
      </c>
      <c r="F11" s="27" t="n">
        <f aca="false">F8*Costos_Margenes!$J$16</f>
        <v>85714.9150047615</v>
      </c>
      <c r="G11" s="27" t="n">
        <f aca="false">G8*Costos_Margenes!$J$16</f>
        <v>111594.031096709</v>
      </c>
      <c r="I11" s="39" t="s">
        <v>385</v>
      </c>
      <c r="J11" s="41" t="n">
        <f aca="false">SUMPRODUCT($B$76:$G$76,(1+J$4)^(-$B$5:$G$5))</f>
        <v>1927724.58152143</v>
      </c>
      <c r="K11" s="41" t="n">
        <f aca="false">SUMPRODUCT($B$76:$G$76,(1+K$4)^(-$B$5:$G$5))</f>
        <v>1180882.78401175</v>
      </c>
      <c r="L11" s="41" t="n">
        <f aca="false">SUMPRODUCT($B$76:$G$76,(1+L$4)^(-$B$5:$G$5))</f>
        <v>722961.158967881</v>
      </c>
      <c r="M11" s="41" t="n">
        <f aca="false">SUMPRODUCT($B$76:$G$76,(1+M$4)^(-$B$5:$G$5))</f>
        <v>434397.124002465</v>
      </c>
      <c r="N11" s="41" t="n">
        <f aca="false">SUMPRODUCT($B$76:$G$76,(1+N$4)^(-$B$5:$G$5))</f>
        <v>248535.211212991</v>
      </c>
      <c r="O11" s="41" t="n">
        <f aca="false">SUMPRODUCT($B$76:$G$76,(1+O$4)^(-$B$5:$G$5))</f>
        <v>126778.793094539</v>
      </c>
      <c r="P11" s="41" t="n">
        <f aca="false">SUMPRODUCT($B$76:$G$76,(1+P$4)^(-$B$5:$G$5))</f>
        <v>46034.6322119722</v>
      </c>
      <c r="Q11" s="41" t="n">
        <f aca="false">SUMPRODUCT($B$76:$G$76,(1+Q$4)^(-$B$5:$G$5))</f>
        <v>-7913.6053034013</v>
      </c>
      <c r="R11" s="41" t="n">
        <f aca="false">SUMPRODUCT($B$76:$G$76,(1+R$4)^(-$B$5:$G$5))</f>
        <v>-44038.2606070388</v>
      </c>
      <c r="S11" s="41" t="n">
        <f aca="false">SUMPRODUCT($B$76:$G$76,(1+S$4)^(-$B$5:$G$5))</f>
        <v>-68127.2366274298</v>
      </c>
      <c r="T11" s="41" t="n">
        <f aca="false">SUMPRODUCT($B$76:$G$76,(1+T$4)^(-$B$5:$G$5))</f>
        <v>-83986.7924821886</v>
      </c>
      <c r="U11" s="41" t="n">
        <f aca="false">SUMPRODUCT($B$76:$G$76,(1+U$4)^(-$B$5:$G$5))</f>
        <v>-94162.8460151366</v>
      </c>
      <c r="V11" s="41" t="n">
        <f aca="false">SUMPRODUCT($B$76:$G$76,(1+V$4)^(-$B$5:$G$5))</f>
        <v>-100383.932953647</v>
      </c>
      <c r="W11" s="41" t="n">
        <f aca="false">SUMPRODUCT($B$76:$G$76,(1+W$4)^(-$B$5:$G$5))</f>
        <v>-103839.118494827</v>
      </c>
      <c r="X11" s="41" t="n">
        <f aca="false">SUMPRODUCT($B$76:$G$76,(1+X$4)^(-$B$5:$G$5))</f>
        <v>-105355.766622465</v>
      </c>
      <c r="Y11" s="41" t="n">
        <f aca="false">SUMPRODUCT($B$76:$G$76,(1+Y$4)^(-$B$5:$G$5))</f>
        <v>-105515.267073295</v>
      </c>
      <c r="Z11" s="41" t="n">
        <f aca="false">SUMPRODUCT($B$76:$G$76,(1+Z$4)^(-$B$5:$G$5))</f>
        <v>-104729.586435417</v>
      </c>
      <c r="AA11" s="41" t="n">
        <f aca="false">SUMPRODUCT($B$76:$G$76,(1+AA$4)^(-$B$5:$G$5))</f>
        <v>-103292.648215438</v>
      </c>
      <c r="AB11" s="41" t="n">
        <f aca="false">SUMPRODUCT($B$76:$G$76,(1+AB$4)^(-$B$5:$G$5))</f>
        <v>-101415.280246699</v>
      </c>
      <c r="AC11" s="41" t="n">
        <f aca="false">SUMPRODUCT($B$76:$G$76,(1+AC$4)^(-$B$5:$G$5))</f>
        <v>-99249.2758275743</v>
      </c>
      <c r="AD11" s="41" t="n">
        <f aca="false">SUMPRODUCT($B$76:$G$76,(1+AD$4)^(-$B$5:$G$5))</f>
        <v>-96904.144949203</v>
      </c>
      <c r="AF11" s="41" t="n">
        <f aca="false">B76*B6</f>
        <v>0</v>
      </c>
      <c r="AG11" s="41" t="n">
        <f aca="false">C76*C6+AF11</f>
        <v>-94316.4283800888</v>
      </c>
      <c r="AH11" s="41" t="n">
        <f aca="false">D76*D6+AG11</f>
        <v>-161616.582872163</v>
      </c>
      <c r="AI11" s="41" t="n">
        <f aca="false">E76*E6+AH11</f>
        <v>-207032.307449579</v>
      </c>
      <c r="AJ11" s="41" t="n">
        <f aca="false">F76*F6+AI11</f>
        <v>-182652.513520768</v>
      </c>
      <c r="AK11" s="41" t="n">
        <f aca="false">G76*G6+AJ11</f>
        <v>-95679.0004776891</v>
      </c>
      <c r="AM11" s="42" t="str">
        <f aca="false">IF(AND(AF11&lt;0,AG11&gt;=0),0+(-AF11)/(C76*C6),"")</f>
        <v/>
      </c>
      <c r="AN11" s="42" t="str">
        <f aca="false">IF(AND(AG11&lt;0,AH11&gt;=0),1+(-AG11)/(D76*D6),"")</f>
        <v/>
      </c>
      <c r="AO11" s="42" t="str">
        <f aca="false">IF(AND(AH11&lt;0,AI11&gt;=0),2+(-AH11)/(E76*E6),"")</f>
        <v/>
      </c>
      <c r="AP11" s="42" t="str">
        <f aca="false">IF(AND(AI11&lt;0,AJ11&gt;=0),3+(-AI11)/(F76*F6),"")</f>
        <v/>
      </c>
      <c r="AQ11" s="42" t="str">
        <f aca="false">IF(AND(AJ11&lt;0,AK11&gt;=0),4+(-AJ11)/(G76*G6),"")</f>
        <v/>
      </c>
    </row>
    <row r="12" customFormat="false" ht="15" hidden="false" customHeight="false" outlineLevel="0" collapsed="false">
      <c r="A12" s="7" t="s">
        <v>386</v>
      </c>
      <c r="C12" s="27" t="n">
        <f aca="false">C10*Costos_Margenes!$J$17</f>
        <v>7332.31707317073</v>
      </c>
      <c r="D12" s="27" t="n">
        <f aca="false">D10*Costos_Margenes!$J$17</f>
        <v>14664.6341463415</v>
      </c>
      <c r="E12" s="27" t="n">
        <f aca="false">E10*Costos_Margenes!$J$17</f>
        <v>21996.9512195122</v>
      </c>
      <c r="F12" s="27" t="n">
        <f aca="false">F10*Costos_Margenes!$J$17</f>
        <v>21996.9512195122</v>
      </c>
      <c r="G12" s="27" t="n">
        <f aca="false">G10*Costos_Margenes!$J$17</f>
        <v>21996.9512195122</v>
      </c>
      <c r="I12" s="39" t="s">
        <v>387</v>
      </c>
      <c r="J12" s="41" t="n">
        <f aca="false">SUMPRODUCT($B$27:$G$27,(1+J$4)^(-$B$5:$G$5))</f>
        <v>2728074.59254532</v>
      </c>
      <c r="K12" s="41" t="n">
        <f aca="false">SUMPRODUCT($B$27:$G$27,(1+K$4)^(-$B$5:$G$5))</f>
        <v>1763450.04558466</v>
      </c>
      <c r="L12" s="41" t="n">
        <f aca="false">SUMPRODUCT($B$27:$G$27,(1+L$4)^(-$B$5:$G$5))</f>
        <v>1149509.88941369</v>
      </c>
      <c r="M12" s="41" t="n">
        <f aca="false">SUMPRODUCT($B$27:$G$27,(1+M$4)^(-$B$5:$G$5))</f>
        <v>745614.363274686</v>
      </c>
      <c r="N12" s="41" t="n">
        <f aca="false">SUMPRODUCT($B$27:$G$27,(1+N$4)^(-$B$5:$G$5))</f>
        <v>472203.989376074</v>
      </c>
      <c r="O12" s="41" t="n">
        <f aca="false">SUMPRODUCT($B$27:$G$27,(1+O$4)^(-$B$5:$G$5))</f>
        <v>282463.386438953</v>
      </c>
      <c r="P12" s="41" t="n">
        <f aca="false">SUMPRODUCT($B$27:$G$27,(1+P$4)^(-$B$5:$G$5))</f>
        <v>147882.941406438</v>
      </c>
      <c r="Q12" s="41" t="n">
        <f aca="false">SUMPRODUCT($B$27:$G$27,(1+Q$4)^(-$B$5:$G$5))</f>
        <v>50569.1328143165</v>
      </c>
      <c r="R12" s="41" t="n">
        <f aca="false">SUMPRODUCT($B$27:$G$27,(1+R$4)^(-$B$5:$G$5))</f>
        <v>-21012.7569470687</v>
      </c>
      <c r="S12" s="41" t="n">
        <f aca="false">SUMPRODUCT($B$27:$G$27,(1+S$4)^(-$B$5:$G$5))</f>
        <v>-74477.7557737942</v>
      </c>
      <c r="T12" s="41" t="n">
        <f aca="false">SUMPRODUCT($B$27:$G$27,(1+T$4)^(-$B$5:$G$5))</f>
        <v>-114961.899218985</v>
      </c>
      <c r="U12" s="41" t="n">
        <f aca="false">SUMPRODUCT($B$27:$G$27,(1+U$4)^(-$B$5:$G$5))</f>
        <v>-145996.770073361</v>
      </c>
      <c r="V12" s="41" t="n">
        <f aca="false">SUMPRODUCT($B$27:$G$27,(1+V$4)^(-$B$5:$G$5))</f>
        <v>-170053.602613118</v>
      </c>
      <c r="W12" s="41" t="n">
        <f aca="false">SUMPRODUCT($B$27:$G$27,(1+W$4)^(-$B$5:$G$5))</f>
        <v>-188889.442349664</v>
      </c>
      <c r="X12" s="41" t="n">
        <f aca="false">SUMPRODUCT($B$27:$G$27,(1+X$4)^(-$B$5:$G$5))</f>
        <v>-203771.893288338</v>
      </c>
      <c r="Y12" s="41" t="n">
        <f aca="false">SUMPRODUCT($B$27:$G$27,(1+Y$4)^(-$B$5:$G$5))</f>
        <v>-215627.772847424</v>
      </c>
      <c r="Z12" s="41" t="n">
        <f aca="false">SUMPRODUCT($B$27:$G$27,(1+Z$4)^(-$B$5:$G$5))</f>
        <v>-225143.127584089</v>
      </c>
      <c r="AA12" s="41" t="n">
        <f aca="false">SUMPRODUCT($B$27:$G$27,(1+AA$4)^(-$B$5:$G$5))</f>
        <v>-232831.589251664</v>
      </c>
      <c r="AB12" s="41" t="n">
        <f aca="false">SUMPRODUCT($B$27:$G$27,(1+AB$4)^(-$B$5:$G$5))</f>
        <v>-239081.775796218</v>
      </c>
      <c r="AC12" s="41" t="n">
        <f aca="false">SUMPRODUCT($B$27:$G$27,(1+AC$4)^(-$B$5:$G$5))</f>
        <v>-244190.606248212</v>
      </c>
      <c r="AD12" s="41" t="n">
        <f aca="false">SUMPRODUCT($B$27:$G$27,(1+AD$4)^(-$B$5:$G$5))</f>
        <v>-248387.009934868</v>
      </c>
      <c r="AF12" s="41" t="n">
        <f aca="false">B27*B7</f>
        <v>-260000</v>
      </c>
      <c r="AG12" s="41" t="n">
        <f aca="false">C27*C7+AF12</f>
        <v>-286134.55973948</v>
      </c>
      <c r="AH12" s="41" t="n">
        <f aca="false">D27*D7+AG12</f>
        <v>-288517.756402173</v>
      </c>
      <c r="AI12" s="41" t="n">
        <f aca="false">E27*E7+AH12</f>
        <v>-274138.293463113</v>
      </c>
      <c r="AJ12" s="41" t="n">
        <f aca="false">F27*F7+AI12</f>
        <v>-251679.219704652</v>
      </c>
      <c r="AK12" s="41" t="n">
        <f aca="false">G27*G7+AJ12</f>
        <v>-180764.766309381</v>
      </c>
      <c r="AM12" s="42" t="str">
        <f aca="false">IF(AND(AF12&lt;0,AG12&gt;=0),0+(-AF12)/(C27*C7),"")</f>
        <v/>
      </c>
      <c r="AN12" s="42" t="str">
        <f aca="false">IF(AND(AG12&lt;0,AH12&gt;=0),1+(-AG12)/(D27*D7),"")</f>
        <v/>
      </c>
      <c r="AO12" s="42" t="str">
        <f aca="false">IF(AND(AH12&lt;0,AI12&gt;=0),2+(-AH12)/(E27*E7),"")</f>
        <v/>
      </c>
      <c r="AP12" s="42" t="str">
        <f aca="false">IF(AND(AI12&lt;0,AJ12&gt;=0),3+(-AI12)/(F27*F7),"")</f>
        <v/>
      </c>
      <c r="AQ12" s="42" t="str">
        <f aca="false">IF(AND(AJ12&lt;0,AK12&gt;=0),4+(-AJ12)/(G27*G7),"")</f>
        <v/>
      </c>
    </row>
    <row r="13" customFormat="false" ht="15" hidden="false" customHeight="false" outlineLevel="0" collapsed="false">
      <c r="A13" s="7" t="s">
        <v>388</v>
      </c>
      <c r="C13" s="27" t="n">
        <f aca="false">C9*(Supuestos!$C$58+Supuestos!$C$59)</f>
        <v>13579.9526953342</v>
      </c>
      <c r="D13" s="27" t="n">
        <f aca="false">D9*(Supuestos!$C$58+Supuestos!$C$59)</f>
        <v>14182.0848892807</v>
      </c>
      <c r="E13" s="27" t="n">
        <f aca="false">E9*(Supuestos!$C$58+Supuestos!$C$59)</f>
        <v>14810.0071709381</v>
      </c>
      <c r="F13" s="27" t="n">
        <f aca="false">F9*(Supuestos!$C$58+Supuestos!$C$59)</f>
        <v>15186.0266497622</v>
      </c>
      <c r="G13" s="27" t="n">
        <f aca="false">G9*(Supuestos!$C$58+Supuestos!$C$59)</f>
        <v>15592.1276868922</v>
      </c>
      <c r="I13" s="39" t="s">
        <v>389</v>
      </c>
      <c r="J13" s="41" t="n">
        <f aca="false">SUMPRODUCT($B$62:$G$62,(1+J$4)^(-$B$5:$G$5))</f>
        <v>-13659.9753559107</v>
      </c>
      <c r="K13" s="41" t="n">
        <f aca="false">SUMPRODUCT($B$62:$G$62,(1+K$4)^(-$B$5:$G$5))</f>
        <v>-409390.099529843</v>
      </c>
      <c r="L13" s="41" t="n">
        <f aca="false">SUMPRODUCT($B$62:$G$62,(1+L$4)^(-$B$5:$G$5))</f>
        <v>-628700.261118831</v>
      </c>
      <c r="M13" s="41" t="n">
        <f aca="false">SUMPRODUCT($B$62:$G$62,(1+M$4)^(-$B$5:$G$5))</f>
        <v>-749358.476231487</v>
      </c>
      <c r="N13" s="41" t="n">
        <f aca="false">SUMPRODUCT($B$62:$G$62,(1+N$4)^(-$B$5:$G$5))</f>
        <v>-813424.916873926</v>
      </c>
      <c r="O13" s="41" t="n">
        <f aca="false">SUMPRODUCT($B$62:$G$62,(1+O$4)^(-$B$5:$G$5))</f>
        <v>-844442.390692125</v>
      </c>
      <c r="P13" s="41" t="n">
        <f aca="false">SUMPRODUCT($B$62:$G$62,(1+P$4)^(-$B$5:$G$5))</f>
        <v>-855968.40239278</v>
      </c>
      <c r="Q13" s="41" t="n">
        <f aca="false">SUMPRODUCT($B$62:$G$62,(1+Q$4)^(-$B$5:$G$5))</f>
        <v>-855993.155688688</v>
      </c>
      <c r="R13" s="41" t="n">
        <f aca="false">SUMPRODUCT($B$62:$G$62,(1+R$4)^(-$B$5:$G$5))</f>
        <v>-849312.756947069</v>
      </c>
      <c r="S13" s="41" t="n">
        <f aca="false">SUMPRODUCT($B$62:$G$62,(1+S$4)^(-$B$5:$G$5))</f>
        <v>-838845.418571556</v>
      </c>
      <c r="T13" s="41" t="n">
        <f aca="false">SUMPRODUCT($B$62:$G$62,(1+T$4)^(-$B$5:$G$5))</f>
        <v>-826382.120142791</v>
      </c>
      <c r="U13" s="41" t="n">
        <f aca="false">SUMPRODUCT($B$62:$G$62,(1+U$4)^(-$B$5:$G$5))</f>
        <v>-813025.332099965</v>
      </c>
      <c r="V13" s="41" t="n">
        <f aca="false">SUMPRODUCT($B$62:$G$62,(1+V$4)^(-$B$5:$G$5))</f>
        <v>-799450.979156328</v>
      </c>
      <c r="W13" s="41" t="n">
        <f aca="false">SUMPRODUCT($B$62:$G$62,(1+W$4)^(-$B$5:$G$5))</f>
        <v>-786067.810349664</v>
      </c>
      <c r="X13" s="41" t="n">
        <f aca="false">SUMPRODUCT($B$62:$G$62,(1+X$4)^(-$B$5:$G$5))</f>
        <v>-773115.936941194</v>
      </c>
      <c r="Y13" s="41" t="n">
        <f aca="false">SUMPRODUCT($B$62:$G$62,(1+Y$4)^(-$B$5:$G$5))</f>
        <v>-760728.607078213</v>
      </c>
      <c r="Z13" s="41" t="n">
        <f aca="false">SUMPRODUCT($B$62:$G$62,(1+Z$4)^(-$B$5:$G$5))</f>
        <v>-748971.383667864</v>
      </c>
      <c r="AA13" s="41" t="n">
        <f aca="false">SUMPRODUCT($B$62:$G$62,(1+AA$4)^(-$B$5:$G$5))</f>
        <v>-737867.223091582</v>
      </c>
      <c r="AB13" s="41" t="n">
        <f aca="false">SUMPRODUCT($B$62:$G$62,(1+AB$4)^(-$B$5:$G$5))</f>
        <v>-727412.639993749</v>
      </c>
      <c r="AC13" s="41" t="n">
        <f aca="false">SUMPRODUCT($B$62:$G$62,(1+AC$4)^(-$B$5:$G$5))</f>
        <v>-717588.171408283</v>
      </c>
      <c r="AD13" s="41" t="n">
        <f aca="false">SUMPRODUCT($B$62:$G$62,(1+AD$4)^(-$B$5:$G$5))</f>
        <v>-708365.159348931</v>
      </c>
      <c r="AF13" s="41" t="n">
        <f aca="false">B62*B7</f>
        <v>-480000</v>
      </c>
      <c r="AG13" s="41" t="n">
        <f aca="false">C62*C7+AF13</f>
        <v>-683647.854537167</v>
      </c>
      <c r="AH13" s="41" t="n">
        <f aca="false">D62*D7+AG13</f>
        <v>-791783.171217236</v>
      </c>
      <c r="AI13" s="41" t="n">
        <f aca="false">E62*E7+AH13</f>
        <v>-830515.143317981</v>
      </c>
      <c r="AJ13" s="41" t="n">
        <f aca="false">F62*F7+AI13</f>
        <v>-846710.221041002</v>
      </c>
      <c r="AK13" s="41" t="n">
        <f aca="false">G62*G7+AJ13</f>
        <v>-792195.240576112</v>
      </c>
      <c r="AM13" s="42" t="str">
        <f aca="false">IF(AND(AF13&lt;0,AG13&gt;=0),0+(-AF13)/(C62*C7),"")</f>
        <v/>
      </c>
      <c r="AN13" s="42" t="str">
        <f aca="false">IF(AND(AG13&lt;0,AH13&gt;=0),1+(-AG13)/(D62*D7),"")</f>
        <v/>
      </c>
      <c r="AO13" s="42" t="str">
        <f aca="false">IF(AND(AH13&lt;0,AI13&gt;=0),2+(-AH13)/(E62*E7),"")</f>
        <v/>
      </c>
      <c r="AP13" s="42" t="str">
        <f aca="false">IF(AND(AI13&lt;0,AJ13&gt;=0),3+(-AI13)/(F62*F7),"")</f>
        <v/>
      </c>
      <c r="AQ13" s="42" t="str">
        <f aca="false">IF(AND(AJ13&lt;0,AK13&gt;=0),4+(-AJ13)/(G62*G7),"")</f>
        <v/>
      </c>
    </row>
    <row r="14" customFormat="false" ht="15" hidden="false" customHeight="false" outlineLevel="0" collapsed="false">
      <c r="A14" s="7" t="s">
        <v>390</v>
      </c>
      <c r="C14" s="27" t="n">
        <f aca="false">-Supuestos!$C$57</f>
        <v>-72000</v>
      </c>
      <c r="D14" s="27" t="n">
        <f aca="false">-Supuestos!$C$57</f>
        <v>-72000</v>
      </c>
      <c r="E14" s="27" t="n">
        <f aca="false">-Supuestos!$C$57</f>
        <v>-72000</v>
      </c>
      <c r="F14" s="27" t="n">
        <f aca="false">-Supuestos!$C$57</f>
        <v>-72000</v>
      </c>
      <c r="G14" s="27" t="n">
        <f aca="false">-Supuestos!$C$57</f>
        <v>-72000</v>
      </c>
    </row>
    <row r="15" customFormat="false" ht="15" hidden="false" customHeight="false" outlineLevel="0" collapsed="false">
      <c r="A15" s="4" t="s">
        <v>391</v>
      </c>
      <c r="C15" s="6" t="n">
        <f aca="false">SUM(C11:C14)</f>
        <v>-32065.8073399288</v>
      </c>
      <c r="D15" s="6" t="n">
        <f aca="false">SUM(D11:D14)</f>
        <v>-3587.68134991998</v>
      </c>
      <c r="E15" s="6" t="n">
        <f aca="false">SUM(E11:E14)</f>
        <v>26559.728865631</v>
      </c>
      <c r="F15" s="6" t="n">
        <f aca="false">SUM(F11:F14)</f>
        <v>50897.8928740359</v>
      </c>
      <c r="G15" s="6" t="n">
        <f aca="false">SUM(G11:G14)</f>
        <v>77183.1100031131</v>
      </c>
    </row>
    <row r="16" customFormat="false" ht="15" hidden="false" customHeight="false" outlineLevel="0" collapsed="false">
      <c r="A16" s="7" t="s">
        <v>392</v>
      </c>
      <c r="C16" s="27" t="n">
        <f aca="false">-(Supuestos!$C$52*Supuestos!$C$55+Supuestos!$C$53*Supuestos!$C$56)</f>
        <v>-28000</v>
      </c>
      <c r="D16" s="27" t="n">
        <f aca="false">-(Supuestos!$C$52*Supuestos!$C$55+Supuestos!$C$53*Supuestos!$C$56)</f>
        <v>-28000</v>
      </c>
      <c r="E16" s="27" t="n">
        <f aca="false">-(Supuestos!$C$52*Supuestos!$C$55+Supuestos!$C$53*Supuestos!$C$56)</f>
        <v>-28000</v>
      </c>
      <c r="F16" s="27" t="n">
        <f aca="false">-(Supuestos!$C$52*Supuestos!$C$55+Supuestos!$C$53*Supuestos!$C$56)</f>
        <v>-28000</v>
      </c>
      <c r="G16" s="27" t="n">
        <f aca="false">-(Supuestos!$C$52*Supuestos!$C$55+Supuestos!$C$53*Supuestos!$C$56)</f>
        <v>-28000</v>
      </c>
    </row>
    <row r="17" customFormat="false" ht="15" hidden="false" customHeight="false" outlineLevel="0" collapsed="false">
      <c r="A17" s="7" t="s">
        <v>393</v>
      </c>
      <c r="C17" s="27" t="n">
        <f aca="false">C15+C16</f>
        <v>-60065.8073399288</v>
      </c>
      <c r="D17" s="27" t="n">
        <f aca="false">D15+D16</f>
        <v>-31587.68134992</v>
      </c>
      <c r="E17" s="27" t="n">
        <f aca="false">E15+E16</f>
        <v>-1440.27113436897</v>
      </c>
      <c r="F17" s="27" t="n">
        <f aca="false">F15+F16</f>
        <v>22897.8928740359</v>
      </c>
      <c r="G17" s="27" t="n">
        <f aca="false">G15+G16</f>
        <v>49183.1100031131</v>
      </c>
    </row>
    <row r="18" customFormat="false" ht="15" hidden="false" customHeight="false" outlineLevel="0" collapsed="false">
      <c r="A18" s="7" t="s">
        <v>394</v>
      </c>
      <c r="C18" s="27" t="n">
        <f aca="false">-C17*Supuestos!$C$7</f>
        <v>17719.413165279</v>
      </c>
      <c r="D18" s="27" t="n">
        <f aca="false">-D17*Supuestos!$C$7</f>
        <v>9318.36599822639</v>
      </c>
      <c r="E18" s="27" t="n">
        <f aca="false">-E17*Supuestos!$C$7</f>
        <v>424.879984638847</v>
      </c>
      <c r="F18" s="27" t="n">
        <f aca="false">-F17*Supuestos!$C$7</f>
        <v>-6754.87839784058</v>
      </c>
      <c r="G18" s="27" t="n">
        <f aca="false">-G17*Supuestos!$C$7</f>
        <v>-14509.0174509184</v>
      </c>
    </row>
    <row r="19" customFormat="false" ht="15" hidden="false" customHeight="false" outlineLevel="0" collapsed="false">
      <c r="A19" s="7" t="s">
        <v>395</v>
      </c>
      <c r="C19" s="27" t="n">
        <f aca="false">C17+C18</f>
        <v>-42346.3941746498</v>
      </c>
      <c r="D19" s="27" t="n">
        <f aca="false">D17+D18</f>
        <v>-22269.3153516936</v>
      </c>
      <c r="E19" s="27" t="n">
        <f aca="false">E17+E18</f>
        <v>-1015.39114973013</v>
      </c>
      <c r="F19" s="27" t="n">
        <f aca="false">F17+F18</f>
        <v>16143.0144761953</v>
      </c>
      <c r="G19" s="27" t="n">
        <f aca="false">G17+G18</f>
        <v>34674.0925521948</v>
      </c>
    </row>
    <row r="20" customFormat="false" ht="15" hidden="false" customHeight="false" outlineLevel="0" collapsed="false">
      <c r="A20" s="7" t="s">
        <v>396</v>
      </c>
      <c r="C20" s="27" t="n">
        <f aca="false">-C16</f>
        <v>28000</v>
      </c>
      <c r="D20" s="27" t="n">
        <f aca="false">-D16</f>
        <v>28000</v>
      </c>
      <c r="E20" s="27" t="n">
        <f aca="false">-E16</f>
        <v>28000</v>
      </c>
      <c r="F20" s="27" t="n">
        <f aca="false">-F16</f>
        <v>28000</v>
      </c>
      <c r="G20" s="27" t="n">
        <f aca="false">-G16</f>
        <v>28000</v>
      </c>
    </row>
    <row r="21" customFormat="false" ht="15" hidden="false" customHeight="false" outlineLevel="0" collapsed="false">
      <c r="A21" s="7" t="s">
        <v>397</v>
      </c>
      <c r="B21" s="27" t="n">
        <f aca="false">-(Supuestos!$C$52+Supuestos!$C$53)</f>
        <v>-230000</v>
      </c>
    </row>
    <row r="22" customFormat="false" ht="15" hidden="false" customHeight="false" outlineLevel="0" collapsed="false">
      <c r="A22" s="7" t="s">
        <v>398</v>
      </c>
      <c r="B22" s="27" t="n">
        <f aca="false">Supuestos!$C$54</f>
        <v>30000</v>
      </c>
      <c r="C22" s="27" t="n">
        <f aca="false">MAX(Supuestos!$C$54,(C8+C10)*Supuestos!$C$9)</f>
        <v>30000</v>
      </c>
      <c r="D22" s="27" t="n">
        <f aca="false">MAX(Supuestos!$C$54,(D8+D10)*Supuestos!$C$9)</f>
        <v>30000</v>
      </c>
      <c r="E22" s="27" t="n">
        <f aca="false">MAX(Supuestos!$C$54,(E8+E10)*Supuestos!$C$9)</f>
        <v>30000</v>
      </c>
      <c r="F22" s="27" t="n">
        <f aca="false">MAX(Supuestos!$C$54,(F8+F10)*Supuestos!$C$9)</f>
        <v>30000</v>
      </c>
      <c r="G22" s="27" t="n">
        <f aca="false">MAX(Supuestos!$C$54,(G8+G10)*Supuestos!$C$9)</f>
        <v>30380.43743616</v>
      </c>
    </row>
    <row r="23" customFormat="false" ht="15" hidden="false" customHeight="false" outlineLevel="0" collapsed="false">
      <c r="A23" s="7" t="s">
        <v>399</v>
      </c>
      <c r="B23" s="27" t="n">
        <f aca="false">-B22</f>
        <v>-30000</v>
      </c>
      <c r="C23" s="27" t="n">
        <f aca="false">-(C22-B22)</f>
        <v>-0</v>
      </c>
      <c r="D23" s="27" t="n">
        <f aca="false">-(D22-C22)</f>
        <v>-0</v>
      </c>
      <c r="E23" s="27" t="n">
        <f aca="false">-(E22-D22)</f>
        <v>-0</v>
      </c>
      <c r="F23" s="27" t="n">
        <f aca="false">-(F22-E22)</f>
        <v>-0</v>
      </c>
      <c r="G23" s="27" t="n">
        <f aca="false">-(G22-F22)</f>
        <v>-380.437436160028</v>
      </c>
    </row>
    <row r="24" customFormat="false" ht="15" hidden="false" customHeight="false" outlineLevel="0" collapsed="false">
      <c r="A24" s="7" t="s">
        <v>400</v>
      </c>
      <c r="G24" s="27" t="n">
        <f aca="false">G22</f>
        <v>30380.43743616</v>
      </c>
    </row>
    <row r="25" customFormat="false" ht="15" hidden="false" customHeight="false" outlineLevel="0" collapsed="false">
      <c r="A25" s="7" t="s">
        <v>401</v>
      </c>
      <c r="G25" s="27" t="n">
        <f aca="false">Supuestos!$C$52*(1-5*Supuestos!$C$55)</f>
        <v>90000</v>
      </c>
    </row>
    <row r="26" customFormat="false" ht="15" hidden="false" customHeight="false" outlineLevel="0" collapsed="false">
      <c r="A26" s="43" t="s">
        <v>402</v>
      </c>
      <c r="B26" s="44" t="n">
        <f aca="false">SUM(B19:B25)-B22</f>
        <v>-260000</v>
      </c>
      <c r="C26" s="44" t="n">
        <f aca="false">SUM(C19:C25)-C22</f>
        <v>-14346.3941746498</v>
      </c>
      <c r="D26" s="44" t="n">
        <f aca="false">SUM(D19:D25)-D22</f>
        <v>5730.68464830642</v>
      </c>
      <c r="E26" s="44" t="n">
        <f aca="false">SUM(E19:E25)-E22</f>
        <v>26984.6088502699</v>
      </c>
      <c r="F26" s="44" t="n">
        <f aca="false">SUM(F19:F25)-F22</f>
        <v>44143.0144761953</v>
      </c>
      <c r="G26" s="44" t="n">
        <f aca="false">SUM(G19:G25)-G22</f>
        <v>182674.092552195</v>
      </c>
    </row>
    <row r="27" customFormat="false" ht="15" hidden="false" customHeight="false" outlineLevel="0" collapsed="false">
      <c r="A27" s="7" t="s">
        <v>403</v>
      </c>
      <c r="B27" s="27" t="n">
        <f aca="false">B26</f>
        <v>-260000</v>
      </c>
      <c r="C27" s="27" t="n">
        <f aca="false">C26-C18</f>
        <v>-32065.8073399288</v>
      </c>
      <c r="D27" s="27" t="n">
        <f aca="false">D26-D18</f>
        <v>-3587.68134991998</v>
      </c>
      <c r="E27" s="27" t="n">
        <f aca="false">E26-E18</f>
        <v>26559.728865631</v>
      </c>
      <c r="F27" s="27" t="n">
        <f aca="false">F26-F18</f>
        <v>50897.8928740359</v>
      </c>
      <c r="G27" s="27" t="n">
        <f aca="false">G26-G18</f>
        <v>197183.110003113</v>
      </c>
    </row>
    <row r="29" customFormat="false" ht="15" hidden="false" customHeight="false" outlineLevel="0" collapsed="false">
      <c r="A29" s="17" t="s">
        <v>404</v>
      </c>
      <c r="B29" s="18"/>
      <c r="C29" s="18"/>
      <c r="D29" s="18"/>
      <c r="E29" s="18"/>
      <c r="F29" s="18"/>
      <c r="G29" s="18"/>
    </row>
    <row r="30" customFormat="false" ht="15" hidden="false" customHeight="false" outlineLevel="0" collapsed="false">
      <c r="A30" s="7" t="s">
        <v>405</v>
      </c>
      <c r="C30" s="27" t="n">
        <f aca="false">Supuestos!$C$83*Supuestos!F$71</f>
        <v>125000</v>
      </c>
      <c r="D30" s="27" t="n">
        <f aca="false">Supuestos!$C$83*Supuestos!G$71</f>
        <v>187500</v>
      </c>
      <c r="E30" s="27" t="n">
        <f aca="false">Supuestos!$C$83*Supuestos!H$71</f>
        <v>250000</v>
      </c>
      <c r="F30" s="27" t="n">
        <f aca="false">Supuestos!$C$83*Supuestos!I$71</f>
        <v>250000</v>
      </c>
      <c r="G30" s="27" t="n">
        <f aca="false">Supuestos!$C$83*Supuestos!J$71</f>
        <v>250000</v>
      </c>
    </row>
    <row r="31" customFormat="false" ht="15" hidden="false" customHeight="false" outlineLevel="0" collapsed="false">
      <c r="A31" s="7" t="s">
        <v>406</v>
      </c>
      <c r="C31" s="27" t="n">
        <f aca="false">C30*Supuestos!$C$68</f>
        <v>77500</v>
      </c>
      <c r="D31" s="27" t="n">
        <f aca="false">D30*Supuestos!$C$68</f>
        <v>116250</v>
      </c>
      <c r="E31" s="27" t="n">
        <f aca="false">E30*Supuestos!$C$68</f>
        <v>155000</v>
      </c>
      <c r="F31" s="27" t="n">
        <f aca="false">F30*Supuestos!$C$68</f>
        <v>155000</v>
      </c>
      <c r="G31" s="27" t="n">
        <f aca="false">G30*Supuestos!$C$68</f>
        <v>155000</v>
      </c>
    </row>
    <row r="32" customFormat="false" ht="15" hidden="false" customHeight="false" outlineLevel="0" collapsed="false">
      <c r="A32" s="7" t="s">
        <v>407</v>
      </c>
      <c r="C32" s="27" t="n">
        <f aca="false">-Supuestos!$C$69</f>
        <v>-216000</v>
      </c>
      <c r="D32" s="27" t="n">
        <f aca="false">-Supuestos!$C$69</f>
        <v>-216000</v>
      </c>
      <c r="E32" s="27" t="n">
        <f aca="false">-Supuestos!$C$69</f>
        <v>-216000</v>
      </c>
      <c r="F32" s="27" t="n">
        <f aca="false">-Supuestos!$C$69</f>
        <v>-216000</v>
      </c>
      <c r="G32" s="27" t="n">
        <f aca="false">-Supuestos!$C$69</f>
        <v>-216000</v>
      </c>
    </row>
    <row r="33" customFormat="false" ht="15" hidden="false" customHeight="false" outlineLevel="0" collapsed="false">
      <c r="A33" s="7" t="s">
        <v>408</v>
      </c>
      <c r="C33" s="27" t="n">
        <f aca="false">-Supuestos!$C$62*Supuestos!$C$67</f>
        <v>-23000</v>
      </c>
      <c r="D33" s="27" t="n">
        <f aca="false">-Supuestos!$C$62*Supuestos!$C$67</f>
        <v>-23000</v>
      </c>
      <c r="E33" s="27" t="n">
        <f aca="false">-Supuestos!$C$62*Supuestos!$C$67</f>
        <v>-23000</v>
      </c>
      <c r="F33" s="27" t="n">
        <f aca="false">-Supuestos!$C$62*Supuestos!$C$67</f>
        <v>-23000</v>
      </c>
      <c r="G33" s="27" t="n">
        <f aca="false">-Supuestos!$C$62*Supuestos!$C$67</f>
        <v>-23000</v>
      </c>
    </row>
    <row r="34" customFormat="false" ht="15" hidden="false" customHeight="false" outlineLevel="0" collapsed="false">
      <c r="A34" s="7" t="s">
        <v>393</v>
      </c>
      <c r="C34" s="27" t="n">
        <f aca="false">SUM(C31:C33)</f>
        <v>-161500</v>
      </c>
      <c r="D34" s="27" t="n">
        <f aca="false">SUM(D31:D33)</f>
        <v>-122750</v>
      </c>
      <c r="E34" s="27" t="n">
        <f aca="false">SUM(E31:E33)</f>
        <v>-84000</v>
      </c>
      <c r="F34" s="27" t="n">
        <f aca="false">SUM(F31:F33)</f>
        <v>-84000</v>
      </c>
      <c r="G34" s="27" t="n">
        <f aca="false">SUM(G31:G33)</f>
        <v>-84000</v>
      </c>
    </row>
    <row r="35" customFormat="false" ht="15" hidden="false" customHeight="false" outlineLevel="0" collapsed="false">
      <c r="A35" s="7" t="s">
        <v>394</v>
      </c>
      <c r="C35" s="27" t="n">
        <f aca="false">-C34*Supuestos!$C$7</f>
        <v>47642.5</v>
      </c>
      <c r="D35" s="27" t="n">
        <f aca="false">-D34*Supuestos!$C$7</f>
        <v>36211.25</v>
      </c>
      <c r="E35" s="27" t="n">
        <f aca="false">-E34*Supuestos!$C$7</f>
        <v>24780</v>
      </c>
      <c r="F35" s="27" t="n">
        <f aca="false">-F34*Supuestos!$C$7</f>
        <v>24780</v>
      </c>
      <c r="G35" s="27" t="n">
        <f aca="false">-G34*Supuestos!$C$7</f>
        <v>24780</v>
      </c>
    </row>
    <row r="36" customFormat="false" ht="15" hidden="false" customHeight="false" outlineLevel="0" collapsed="false">
      <c r="A36" s="7" t="s">
        <v>395</v>
      </c>
      <c r="C36" s="27" t="n">
        <f aca="false">C34+C35</f>
        <v>-113857.5</v>
      </c>
      <c r="D36" s="27" t="n">
        <f aca="false">D34+D35</f>
        <v>-86538.75</v>
      </c>
      <c r="E36" s="27" t="n">
        <f aca="false">E34+E35</f>
        <v>-59220</v>
      </c>
      <c r="F36" s="27" t="n">
        <f aca="false">F34+F35</f>
        <v>-59220</v>
      </c>
      <c r="G36" s="27" t="n">
        <f aca="false">G34+G35</f>
        <v>-59220</v>
      </c>
    </row>
    <row r="37" customFormat="false" ht="15" hidden="false" customHeight="false" outlineLevel="0" collapsed="false">
      <c r="A37" s="7" t="s">
        <v>396</v>
      </c>
      <c r="C37" s="27" t="n">
        <f aca="false">-C33</f>
        <v>23000</v>
      </c>
      <c r="D37" s="27" t="n">
        <f aca="false">-D33</f>
        <v>23000</v>
      </c>
      <c r="E37" s="27" t="n">
        <f aca="false">-E33</f>
        <v>23000</v>
      </c>
      <c r="F37" s="27" t="n">
        <f aca="false">-F33</f>
        <v>23000</v>
      </c>
      <c r="G37" s="27" t="n">
        <f aca="false">-G33</f>
        <v>23000</v>
      </c>
    </row>
    <row r="38" customFormat="false" ht="15" hidden="false" customHeight="false" outlineLevel="0" collapsed="false">
      <c r="A38" s="7" t="s">
        <v>409</v>
      </c>
      <c r="B38" s="27" t="n">
        <f aca="false">-Supuestos!$C$62</f>
        <v>-115000</v>
      </c>
    </row>
    <row r="39" customFormat="false" ht="15" hidden="false" customHeight="false" outlineLevel="0" collapsed="false">
      <c r="A39" s="7" t="s">
        <v>398</v>
      </c>
      <c r="B39" s="27" t="n">
        <f aca="false">Supuestos!$C$64</f>
        <v>15000</v>
      </c>
      <c r="C39" s="27" t="n">
        <f aca="false">MAX(Supuestos!$C$64,C30*Supuestos!$C$9)</f>
        <v>15000</v>
      </c>
      <c r="D39" s="27" t="n">
        <f aca="false">MAX(Supuestos!$C$64,D30*Supuestos!$C$9)</f>
        <v>18750</v>
      </c>
      <c r="E39" s="27" t="n">
        <f aca="false">MAX(Supuestos!$C$64,E30*Supuestos!$C$9)</f>
        <v>25000</v>
      </c>
      <c r="F39" s="27" t="n">
        <f aca="false">MAX(Supuestos!$C$64,F30*Supuestos!$C$9)</f>
        <v>25000</v>
      </c>
      <c r="G39" s="27" t="n">
        <f aca="false">MAX(Supuestos!$C$64,G30*Supuestos!$C$9)</f>
        <v>25000</v>
      </c>
    </row>
    <row r="40" customFormat="false" ht="15" hidden="false" customHeight="false" outlineLevel="0" collapsed="false">
      <c r="A40" s="7" t="s">
        <v>399</v>
      </c>
      <c r="B40" s="27" t="n">
        <f aca="false">-B39</f>
        <v>-15000</v>
      </c>
      <c r="C40" s="27" t="n">
        <f aca="false">-(C39-B39)</f>
        <v>-0</v>
      </c>
      <c r="D40" s="27" t="n">
        <f aca="false">-(D39-C39)</f>
        <v>-3750</v>
      </c>
      <c r="E40" s="27" t="n">
        <f aca="false">-(E39-D39)</f>
        <v>-6250</v>
      </c>
      <c r="F40" s="27" t="n">
        <f aca="false">-(F39-E39)</f>
        <v>-0</v>
      </c>
      <c r="G40" s="27" t="n">
        <f aca="false">-(G39-F39)</f>
        <v>-0</v>
      </c>
    </row>
    <row r="41" customFormat="false" ht="15" hidden="false" customHeight="false" outlineLevel="0" collapsed="false">
      <c r="A41" s="7" t="s">
        <v>400</v>
      </c>
      <c r="G41" s="27" t="n">
        <f aca="false">G39</f>
        <v>25000</v>
      </c>
    </row>
    <row r="42" customFormat="false" ht="15" hidden="false" customHeight="false" outlineLevel="0" collapsed="false">
      <c r="A42" s="43" t="s">
        <v>410</v>
      </c>
      <c r="B42" s="44" t="n">
        <f aca="false">SUM(B36:B41)-B39</f>
        <v>-130000</v>
      </c>
      <c r="C42" s="44" t="n">
        <f aca="false">SUM(C36:C41)-C39</f>
        <v>-90857.5</v>
      </c>
      <c r="D42" s="44" t="n">
        <f aca="false">SUM(D36:D41)-D39</f>
        <v>-67288.75</v>
      </c>
      <c r="E42" s="44" t="n">
        <f aca="false">SUM(E36:E41)-E39</f>
        <v>-42470</v>
      </c>
      <c r="F42" s="44" t="n">
        <f aca="false">SUM(F36:F41)-F39</f>
        <v>-36220</v>
      </c>
      <c r="G42" s="44" t="n">
        <f aca="false">SUM(G36:G41)-G39</f>
        <v>-11220</v>
      </c>
    </row>
    <row r="44" customFormat="false" ht="15" hidden="false" customHeight="false" outlineLevel="0" collapsed="false">
      <c r="A44" s="17" t="s">
        <v>411</v>
      </c>
      <c r="B44" s="18"/>
      <c r="C44" s="18"/>
      <c r="D44" s="18"/>
      <c r="E44" s="18"/>
      <c r="F44" s="18"/>
      <c r="G44" s="18"/>
    </row>
    <row r="45" customFormat="false" ht="15" hidden="false" customHeight="false" outlineLevel="0" collapsed="false">
      <c r="A45" s="7" t="s">
        <v>412</v>
      </c>
      <c r="C45" s="27" t="n">
        <f aca="false">Supuestos!$C$84*Supuestos!F$71</f>
        <v>85000</v>
      </c>
      <c r="D45" s="27" t="n">
        <f aca="false">Supuestos!$C$84*Supuestos!G$71</f>
        <v>127500</v>
      </c>
      <c r="E45" s="27" t="n">
        <f aca="false">Supuestos!$C$84*Supuestos!H$71</f>
        <v>170000</v>
      </c>
      <c r="F45" s="27" t="n">
        <f aca="false">Supuestos!$C$84*Supuestos!I$71</f>
        <v>170000</v>
      </c>
      <c r="G45" s="27" t="n">
        <f aca="false">Supuestos!$C$84*Supuestos!J$71</f>
        <v>170000</v>
      </c>
    </row>
    <row r="46" customFormat="false" ht="15" hidden="false" customHeight="false" outlineLevel="0" collapsed="false">
      <c r="A46" s="7" t="s">
        <v>406</v>
      </c>
      <c r="C46" s="27" t="n">
        <f aca="false">C45*Supuestos!$C$68</f>
        <v>52700</v>
      </c>
      <c r="D46" s="27" t="n">
        <f aca="false">D45*Supuestos!$C$68</f>
        <v>79050</v>
      </c>
      <c r="E46" s="27" t="n">
        <f aca="false">E45*Supuestos!$C$68</f>
        <v>105400</v>
      </c>
      <c r="F46" s="27" t="n">
        <f aca="false">F45*Supuestos!$C$68</f>
        <v>105400</v>
      </c>
      <c r="G46" s="27" t="n">
        <f aca="false">G45*Supuestos!$C$68</f>
        <v>105400</v>
      </c>
    </row>
    <row r="47" customFormat="false" ht="15" hidden="false" customHeight="false" outlineLevel="0" collapsed="false">
      <c r="A47" s="7" t="s">
        <v>407</v>
      </c>
      <c r="C47" s="27" t="n">
        <f aca="false">-Supuestos!$C$70</f>
        <v>-132000</v>
      </c>
      <c r="D47" s="27" t="n">
        <f aca="false">-Supuestos!$C$70</f>
        <v>-132000</v>
      </c>
      <c r="E47" s="27" t="n">
        <f aca="false">-Supuestos!$C$70</f>
        <v>-132000</v>
      </c>
      <c r="F47" s="27" t="n">
        <f aca="false">-Supuestos!$C$70</f>
        <v>-132000</v>
      </c>
      <c r="G47" s="27" t="n">
        <f aca="false">-Supuestos!$C$70</f>
        <v>-132000</v>
      </c>
    </row>
    <row r="48" customFormat="false" ht="15" hidden="false" customHeight="false" outlineLevel="0" collapsed="false">
      <c r="A48" s="7" t="s">
        <v>408</v>
      </c>
      <c r="C48" s="27" t="n">
        <f aca="false">-Supuestos!$C$63*Supuestos!$C$67</f>
        <v>-16000</v>
      </c>
      <c r="D48" s="27" t="n">
        <f aca="false">-Supuestos!$C$63*Supuestos!$C$67</f>
        <v>-16000</v>
      </c>
      <c r="E48" s="27" t="n">
        <f aca="false">-Supuestos!$C$63*Supuestos!$C$67</f>
        <v>-16000</v>
      </c>
      <c r="F48" s="27" t="n">
        <f aca="false">-Supuestos!$C$63*Supuestos!$C$67</f>
        <v>-16000</v>
      </c>
      <c r="G48" s="27" t="n">
        <f aca="false">-Supuestos!$C$63*Supuestos!$C$67</f>
        <v>-16000</v>
      </c>
    </row>
    <row r="49" customFormat="false" ht="15" hidden="false" customHeight="false" outlineLevel="0" collapsed="false">
      <c r="A49" s="7" t="s">
        <v>393</v>
      </c>
      <c r="C49" s="27" t="n">
        <f aca="false">SUM(C46:C48)</f>
        <v>-95300</v>
      </c>
      <c r="D49" s="27" t="n">
        <f aca="false">SUM(D46:D48)</f>
        <v>-68950</v>
      </c>
      <c r="E49" s="27" t="n">
        <f aca="false">SUM(E46:E48)</f>
        <v>-42600</v>
      </c>
      <c r="F49" s="27" t="n">
        <f aca="false">SUM(F46:F48)</f>
        <v>-42600</v>
      </c>
      <c r="G49" s="27" t="n">
        <f aca="false">SUM(G46:G48)</f>
        <v>-42600</v>
      </c>
    </row>
    <row r="50" customFormat="false" ht="15" hidden="false" customHeight="false" outlineLevel="0" collapsed="false">
      <c r="A50" s="7" t="s">
        <v>394</v>
      </c>
      <c r="C50" s="27" t="n">
        <f aca="false">-C49*Supuestos!$C$7</f>
        <v>28113.5</v>
      </c>
      <c r="D50" s="27" t="n">
        <f aca="false">-D49*Supuestos!$C$7</f>
        <v>20340.25</v>
      </c>
      <c r="E50" s="27" t="n">
        <f aca="false">-E49*Supuestos!$C$7</f>
        <v>12567</v>
      </c>
      <c r="F50" s="27" t="n">
        <f aca="false">-F49*Supuestos!$C$7</f>
        <v>12567</v>
      </c>
      <c r="G50" s="27" t="n">
        <f aca="false">-G49*Supuestos!$C$7</f>
        <v>12567</v>
      </c>
    </row>
    <row r="51" customFormat="false" ht="15" hidden="false" customHeight="false" outlineLevel="0" collapsed="false">
      <c r="A51" s="7" t="s">
        <v>395</v>
      </c>
      <c r="C51" s="27" t="n">
        <f aca="false">C49+C50</f>
        <v>-67186.5</v>
      </c>
      <c r="D51" s="27" t="n">
        <f aca="false">D49+D50</f>
        <v>-48609.75</v>
      </c>
      <c r="E51" s="27" t="n">
        <f aca="false">E49+E50</f>
        <v>-30033</v>
      </c>
      <c r="F51" s="27" t="n">
        <f aca="false">F49+F50</f>
        <v>-30033</v>
      </c>
      <c r="G51" s="27" t="n">
        <f aca="false">G49+G50</f>
        <v>-30033</v>
      </c>
    </row>
    <row r="52" customFormat="false" ht="15" hidden="false" customHeight="false" outlineLevel="0" collapsed="false">
      <c r="A52" s="7" t="s">
        <v>396</v>
      </c>
      <c r="C52" s="27" t="n">
        <f aca="false">-C48</f>
        <v>16000</v>
      </c>
      <c r="D52" s="27" t="n">
        <f aca="false">-D48</f>
        <v>16000</v>
      </c>
      <c r="E52" s="27" t="n">
        <f aca="false">-E48</f>
        <v>16000</v>
      </c>
      <c r="F52" s="27" t="n">
        <f aca="false">-F48</f>
        <v>16000</v>
      </c>
      <c r="G52" s="27" t="n">
        <f aca="false">-G48</f>
        <v>16000</v>
      </c>
    </row>
    <row r="53" customFormat="false" ht="15" hidden="false" customHeight="false" outlineLevel="0" collapsed="false">
      <c r="A53" s="7" t="s">
        <v>409</v>
      </c>
      <c r="B53" s="27" t="n">
        <f aca="false">-Supuestos!$C$63</f>
        <v>-80000</v>
      </c>
    </row>
    <row r="54" customFormat="false" ht="15" hidden="false" customHeight="false" outlineLevel="0" collapsed="false">
      <c r="A54" s="7" t="s">
        <v>398</v>
      </c>
      <c r="B54" s="27" t="n">
        <f aca="false">Supuestos!$C$65</f>
        <v>10000</v>
      </c>
      <c r="C54" s="27" t="n">
        <f aca="false">MAX(Supuestos!$C$65,C45*Supuestos!$C$9)</f>
        <v>10000</v>
      </c>
      <c r="D54" s="27" t="n">
        <f aca="false">MAX(Supuestos!$C$65,D45*Supuestos!$C$9)</f>
        <v>12750</v>
      </c>
      <c r="E54" s="27" t="n">
        <f aca="false">MAX(Supuestos!$C$65,E45*Supuestos!$C$9)</f>
        <v>17000</v>
      </c>
      <c r="F54" s="27" t="n">
        <f aca="false">MAX(Supuestos!$C$65,F45*Supuestos!$C$9)</f>
        <v>17000</v>
      </c>
      <c r="G54" s="27" t="n">
        <f aca="false">MAX(Supuestos!$C$65,G45*Supuestos!$C$9)</f>
        <v>17000</v>
      </c>
    </row>
    <row r="55" customFormat="false" ht="15" hidden="false" customHeight="false" outlineLevel="0" collapsed="false">
      <c r="A55" s="7" t="s">
        <v>399</v>
      </c>
      <c r="B55" s="27" t="n">
        <f aca="false">-B54</f>
        <v>-10000</v>
      </c>
      <c r="C55" s="27" t="n">
        <f aca="false">-(C54-B54)</f>
        <v>-0</v>
      </c>
      <c r="D55" s="27" t="n">
        <f aca="false">-(D54-C54)</f>
        <v>-2750</v>
      </c>
      <c r="E55" s="27" t="n">
        <f aca="false">-(E54-D54)</f>
        <v>-4250</v>
      </c>
      <c r="F55" s="27" t="n">
        <f aca="false">-(F54-E54)</f>
        <v>-0</v>
      </c>
      <c r="G55" s="27" t="n">
        <f aca="false">-(G54-F54)</f>
        <v>-0</v>
      </c>
    </row>
    <row r="56" customFormat="false" ht="15" hidden="false" customHeight="false" outlineLevel="0" collapsed="false">
      <c r="A56" s="7" t="s">
        <v>400</v>
      </c>
      <c r="G56" s="27" t="n">
        <f aca="false">G54</f>
        <v>17000</v>
      </c>
    </row>
    <row r="57" customFormat="false" ht="15" hidden="false" customHeight="false" outlineLevel="0" collapsed="false">
      <c r="A57" s="43" t="s">
        <v>413</v>
      </c>
      <c r="B57" s="44" t="n">
        <f aca="false">SUM(B51:B56)-B54</f>
        <v>-90000</v>
      </c>
      <c r="C57" s="44" t="n">
        <f aca="false">SUM(C51:C56)-C54</f>
        <v>-51186.5</v>
      </c>
      <c r="D57" s="44" t="n">
        <f aca="false">SUM(D51:D56)-D54</f>
        <v>-35359.75</v>
      </c>
      <c r="E57" s="44" t="n">
        <f aca="false">SUM(E51:E56)-E54</f>
        <v>-18283</v>
      </c>
      <c r="F57" s="44" t="n">
        <f aca="false">SUM(F51:F56)-F54</f>
        <v>-14033</v>
      </c>
      <c r="G57" s="44" t="n">
        <f aca="false">SUM(G51:G56)-G54</f>
        <v>2967</v>
      </c>
    </row>
    <row r="59" customFormat="false" ht="15" hidden="false" customHeight="false" outlineLevel="0" collapsed="false">
      <c r="A59" s="17" t="s">
        <v>414</v>
      </c>
      <c r="B59" s="18"/>
      <c r="C59" s="18"/>
      <c r="D59" s="18"/>
      <c r="E59" s="18"/>
      <c r="F59" s="18"/>
      <c r="G59" s="18"/>
    </row>
    <row r="60" customFormat="false" ht="15" hidden="false" customHeight="false" outlineLevel="0" collapsed="false">
      <c r="A60" s="4" t="s">
        <v>415</v>
      </c>
      <c r="B60" s="6" t="n">
        <f aca="false">B42+B57</f>
        <v>-220000</v>
      </c>
      <c r="C60" s="6" t="n">
        <f aca="false">C42+C57</f>
        <v>-142044</v>
      </c>
      <c r="D60" s="6" t="n">
        <f aca="false">D42+D57</f>
        <v>-102648.5</v>
      </c>
      <c r="E60" s="6" t="n">
        <f aca="false">E42+E57</f>
        <v>-60753</v>
      </c>
      <c r="F60" s="6" t="n">
        <f aca="false">F42+F57</f>
        <v>-50253</v>
      </c>
      <c r="G60" s="6" t="n">
        <f aca="false">G42+G57</f>
        <v>-8253</v>
      </c>
    </row>
    <row r="61" customFormat="false" ht="15" hidden="false" customHeight="false" outlineLevel="0" collapsed="false">
      <c r="A61" s="43" t="s">
        <v>416</v>
      </c>
      <c r="B61" s="44" t="n">
        <f aca="false">B26+B60</f>
        <v>-480000</v>
      </c>
      <c r="C61" s="44" t="n">
        <f aca="false">C26+C60</f>
        <v>-156390.39417465</v>
      </c>
      <c r="D61" s="44" t="n">
        <f aca="false">D26+D60</f>
        <v>-96917.8153516936</v>
      </c>
      <c r="E61" s="44" t="n">
        <f aca="false">E26+E60</f>
        <v>-33768.3911497301</v>
      </c>
      <c r="F61" s="44" t="n">
        <f aca="false">F26+F60</f>
        <v>-6109.9855238047</v>
      </c>
      <c r="G61" s="44" t="n">
        <f aca="false">G26+G60</f>
        <v>174421.092552195</v>
      </c>
    </row>
    <row r="62" customFormat="false" ht="15" hidden="false" customHeight="false" outlineLevel="0" collapsed="false">
      <c r="A62" s="7" t="s">
        <v>417</v>
      </c>
      <c r="B62" s="27" t="n">
        <f aca="false">B61</f>
        <v>-480000</v>
      </c>
      <c r="C62" s="27" t="n">
        <f aca="false">C61-C18-C35-C50</f>
        <v>-249865.807339929</v>
      </c>
      <c r="D62" s="27" t="n">
        <f aca="false">D61-D18-D35-D50</f>
        <v>-162787.68134992</v>
      </c>
      <c r="E62" s="27" t="n">
        <f aca="false">E61-E18-E35-E50</f>
        <v>-71540.271134369</v>
      </c>
      <c r="F62" s="27" t="n">
        <f aca="false">F61-F18-F35-F50</f>
        <v>-36702.1071259641</v>
      </c>
      <c r="G62" s="27" t="n">
        <f aca="false">G61-G18-G35-G50</f>
        <v>151583.110003113</v>
      </c>
    </row>
    <row r="64" customFormat="false" ht="15" hidden="false" customHeight="false" outlineLevel="0" collapsed="false">
      <c r="A64" s="17" t="s">
        <v>418</v>
      </c>
      <c r="B64" s="18"/>
      <c r="C64" s="18"/>
      <c r="D64" s="18"/>
      <c r="E64" s="18"/>
      <c r="F64" s="18"/>
      <c r="G64" s="18"/>
    </row>
    <row r="65" customFormat="false" ht="15" hidden="false" customHeight="false" outlineLevel="0" collapsed="false">
      <c r="A65" s="7" t="s">
        <v>419</v>
      </c>
      <c r="B65" s="35" t="n">
        <f aca="false">1/(1+Supuestos!$C$8)^B5</f>
        <v>1</v>
      </c>
      <c r="C65" s="35" t="n">
        <f aca="false">1/(1+Supuestos!$C$8)^C5</f>
        <v>0.980392156862745</v>
      </c>
      <c r="D65" s="35" t="n">
        <f aca="false">1/(1+Supuestos!$C$8)^D5</f>
        <v>0.961168781237985</v>
      </c>
      <c r="E65" s="35" t="n">
        <f aca="false">1/(1+Supuestos!$C$8)^E5</f>
        <v>0.942322334547044</v>
      </c>
      <c r="F65" s="35" t="n">
        <f aca="false">1/(1+Supuestos!$C$8)^F5</f>
        <v>0.923845426026514</v>
      </c>
      <c r="G65" s="35" t="n">
        <f aca="false">1/(1+Supuestos!$C$8)^G5</f>
        <v>0.905730809829916</v>
      </c>
    </row>
    <row r="66" customFormat="false" ht="15" hidden="false" customHeight="false" outlineLevel="0" collapsed="false">
      <c r="A66" s="7" t="s">
        <v>420</v>
      </c>
      <c r="B66" s="5" t="n">
        <f aca="false">Supuestos!$C$74</f>
        <v>480000</v>
      </c>
    </row>
    <row r="67" customFormat="false" ht="15" hidden="false" customHeight="false" outlineLevel="0" collapsed="false">
      <c r="A67" s="7" t="s">
        <v>421</v>
      </c>
      <c r="C67" s="5" t="n">
        <f aca="false">-Prestamo!F44</f>
        <v>-195793.77939037</v>
      </c>
      <c r="D67" s="5" t="n">
        <f aca="false">-Prestamo!F45</f>
        <v>-195793.77939037</v>
      </c>
      <c r="E67" s="5" t="n">
        <f aca="false">-Prestamo!F46</f>
        <v>-195793.77939037</v>
      </c>
      <c r="F67" s="5" t="n">
        <f aca="false">-Prestamo!F47</f>
        <v>-0</v>
      </c>
      <c r="G67" s="5" t="n">
        <f aca="false">-Prestamo!F48</f>
        <v>-0</v>
      </c>
    </row>
    <row r="68" customFormat="false" ht="15" hidden="false" customHeight="false" outlineLevel="0" collapsed="false">
      <c r="A68" s="7" t="s">
        <v>422</v>
      </c>
      <c r="C68" s="27" t="n">
        <f aca="false">Prestamo!D44*Supuestos!$C$7</f>
        <v>16787.2390805023</v>
      </c>
      <c r="D68" s="27" t="n">
        <f aca="false">Prestamo!D45*Supuestos!$C$7</f>
        <v>10846.3098337521</v>
      </c>
      <c r="E68" s="27" t="n">
        <f aca="false">Prestamo!D46*Supuestos!$C$7</f>
        <v>4043.94584622305</v>
      </c>
      <c r="F68" s="27" t="n">
        <f aca="false">Prestamo!D47*Supuestos!$C$7</f>
        <v>0</v>
      </c>
      <c r="G68" s="27" t="n">
        <f aca="false">Prestamo!D48*Supuestos!$C$7</f>
        <v>0</v>
      </c>
    </row>
    <row r="69" customFormat="false" ht="15" hidden="false" customHeight="false" outlineLevel="0" collapsed="false">
      <c r="A69" s="7" t="s">
        <v>423</v>
      </c>
      <c r="C69" s="27" t="n">
        <f aca="false">(C67+C68)*C65</f>
        <v>-175496.608146929</v>
      </c>
      <c r="D69" s="27" t="n">
        <f aca="false">(D67+D68)*D65</f>
        <v>-177765.733906784</v>
      </c>
      <c r="E69" s="27" t="n">
        <f aca="false">(E67+E68)*E65</f>
        <v>-180690.150794328</v>
      </c>
      <c r="F69" s="27" t="n">
        <f aca="false">(F67+F68)*F65</f>
        <v>0</v>
      </c>
      <c r="G69" s="27" t="n">
        <f aca="false">(G67+G68)*G65</f>
        <v>0</v>
      </c>
    </row>
    <row r="70" customFormat="false" ht="15" hidden="false" customHeight="false" outlineLevel="0" collapsed="false">
      <c r="A70" s="43" t="s">
        <v>424</v>
      </c>
      <c r="B70" s="44" t="n">
        <f aca="false">B61+B66</f>
        <v>0</v>
      </c>
      <c r="C70" s="44" t="n">
        <f aca="false">C61+C69</f>
        <v>-331887.002321579</v>
      </c>
      <c r="D70" s="44" t="n">
        <f aca="false">D61+D69</f>
        <v>-274683.549258477</v>
      </c>
      <c r="E70" s="44" t="n">
        <f aca="false">E61+E69</f>
        <v>-214458.541944058</v>
      </c>
      <c r="F70" s="44" t="n">
        <f aca="false">F61+F69</f>
        <v>-6109.9855238047</v>
      </c>
      <c r="G70" s="44" t="n">
        <f aca="false">G61+G69</f>
        <v>174421.092552195</v>
      </c>
    </row>
    <row r="72" customFormat="false" ht="15" hidden="false" customHeight="false" outlineLevel="0" collapsed="false">
      <c r="A72" s="7" t="s">
        <v>425</v>
      </c>
      <c r="B72" s="5" t="n">
        <f aca="false">Supuestos!$C$75</f>
        <v>260000</v>
      </c>
    </row>
    <row r="73" customFormat="false" ht="15" hidden="false" customHeight="false" outlineLevel="0" collapsed="false">
      <c r="A73" s="7" t="s">
        <v>421</v>
      </c>
      <c r="C73" s="5" t="n">
        <f aca="false">-Prestamo!L44</f>
        <v>-106054.96383645</v>
      </c>
      <c r="D73" s="5" t="n">
        <f aca="false">-Prestamo!L45</f>
        <v>-106054.96383645</v>
      </c>
      <c r="E73" s="5" t="n">
        <f aca="false">-Prestamo!L46</f>
        <v>-106054.96383645</v>
      </c>
      <c r="F73" s="5" t="n">
        <f aca="false">-Prestamo!L47</f>
        <v>-0</v>
      </c>
      <c r="G73" s="5" t="n">
        <f aca="false">-Prestamo!L48</f>
        <v>-0</v>
      </c>
    </row>
    <row r="74" customFormat="false" ht="15" hidden="false" customHeight="false" outlineLevel="0" collapsed="false">
      <c r="A74" s="7" t="s">
        <v>422</v>
      </c>
      <c r="C74" s="27" t="n">
        <f aca="false">Prestamo!J44*Supuestos!$C$7</f>
        <v>9093.08783527208</v>
      </c>
      <c r="D74" s="27" t="n">
        <f aca="false">Prestamo!J45*Supuestos!$C$7</f>
        <v>5875.08449328237</v>
      </c>
      <c r="E74" s="27" t="n">
        <f aca="false">Prestamo!J46*Supuestos!$C$7</f>
        <v>2190.47066670415</v>
      </c>
      <c r="F74" s="27" t="n">
        <f aca="false">Prestamo!J47*Supuestos!$C$7</f>
        <v>0</v>
      </c>
      <c r="G74" s="27" t="n">
        <f aca="false">Prestamo!J48*Supuestos!$C$7</f>
        <v>0</v>
      </c>
    </row>
    <row r="75" customFormat="false" ht="15" hidden="false" customHeight="false" outlineLevel="0" collapsed="false">
      <c r="A75" s="7" t="s">
        <v>423</v>
      </c>
      <c r="C75" s="27" t="n">
        <f aca="false">(C73+C74)*C65</f>
        <v>-95060.6627462533</v>
      </c>
      <c r="D75" s="27" t="n">
        <f aca="false">(D73+D74)*D65</f>
        <v>-96289.7725328413</v>
      </c>
      <c r="E75" s="27" t="n">
        <f aca="false">(E73+E74)*E65</f>
        <v>-97873.8316802608</v>
      </c>
      <c r="F75" s="27" t="n">
        <f aca="false">(F73+F74)*F65</f>
        <v>0</v>
      </c>
      <c r="G75" s="27" t="n">
        <f aca="false">(G73+G74)*G65</f>
        <v>0</v>
      </c>
    </row>
    <row r="76" customFormat="false" ht="15" hidden="false" customHeight="false" outlineLevel="0" collapsed="false">
      <c r="A76" s="43" t="s">
        <v>426</v>
      </c>
      <c r="B76" s="44" t="n">
        <f aca="false">B26+B72</f>
        <v>0</v>
      </c>
      <c r="C76" s="44" t="n">
        <f aca="false">C26+C75</f>
        <v>-109407.056920903</v>
      </c>
      <c r="D76" s="44" t="n">
        <f aca="false">D26+D75</f>
        <v>-90559.0878845348</v>
      </c>
      <c r="E76" s="44" t="n">
        <f aca="false">E26+E75</f>
        <v>-70889.222829991</v>
      </c>
      <c r="F76" s="44" t="n">
        <f aca="false">F26+F75</f>
        <v>44143.0144761953</v>
      </c>
      <c r="G76" s="44" t="n">
        <f aca="false">G26+G75</f>
        <v>182674.092552195</v>
      </c>
    </row>
    <row r="78" customFormat="false" ht="15" hidden="false" customHeight="false" outlineLevel="0" collapsed="false">
      <c r="A78" s="17" t="s">
        <v>427</v>
      </c>
      <c r="B78" s="18"/>
      <c r="C78" s="18"/>
      <c r="D78" s="18"/>
      <c r="E78" s="18"/>
      <c r="F78" s="18"/>
      <c r="G78" s="18"/>
    </row>
    <row r="79" customFormat="false" ht="39.55" hidden="false" customHeight="false" outlineLevel="0" collapsed="false">
      <c r="A79" s="3" t="s">
        <v>428</v>
      </c>
      <c r="B79" s="3" t="s">
        <v>429</v>
      </c>
      <c r="C79" s="3" t="s">
        <v>430</v>
      </c>
      <c r="D79" s="3" t="s">
        <v>431</v>
      </c>
      <c r="E79" s="3" t="s">
        <v>432</v>
      </c>
      <c r="F79" s="3" t="s">
        <v>433</v>
      </c>
      <c r="G79" s="3" t="s">
        <v>434</v>
      </c>
    </row>
    <row r="80" customFormat="false" ht="15" hidden="false" customHeight="false" outlineLevel="0" collapsed="false">
      <c r="A80" s="7" t="s">
        <v>376</v>
      </c>
      <c r="B80" s="6" t="n">
        <f aca="false">SUMPRODUCT($B$26:$G$26,$B$6:$G$6)</f>
        <v>-139467.545255999</v>
      </c>
      <c r="C80" s="27" t="n">
        <f aca="false">B80*Factores!$C$14</f>
        <v>-42594.6967523973</v>
      </c>
      <c r="D80" s="27" t="n">
        <f aca="false">SUMPRODUCT(($B$26:$G$26&gt;0)*$B$26:$G$26,$B$6:$G$6)</f>
        <v>132900.035929044</v>
      </c>
      <c r="E80" s="27" t="n">
        <f aca="false">SUMPRODUCT(($B$26:$G$26&lt;0)*(-$B$26:$G$26),$B$6:$G$6)</f>
        <v>272367.581185043</v>
      </c>
      <c r="F80" s="45" t="n">
        <f aca="false">IF(E80=0,"n.a.",D80/E80)</f>
        <v>0.487943665508243</v>
      </c>
      <c r="G80" s="46" t="str">
        <f aca="false">IF(COUNT(AM5:AQ5)=0,"No recupera en 5 años",MIN(AM5:AQ5))</f>
        <v>No recupera en 5 años</v>
      </c>
    </row>
    <row r="81" customFormat="false" ht="15" hidden="false" customHeight="false" outlineLevel="0" collapsed="false">
      <c r="A81" s="7" t="s">
        <v>8</v>
      </c>
      <c r="B81" s="6" t="n">
        <f aca="false">SUMPRODUCT($B$42:$G$42,$B$6:$G$6)</f>
        <v>-310886.636703349</v>
      </c>
      <c r="C81" s="27" t="n">
        <f aca="false">B81*Factores!$C$14</f>
        <v>-94947.6954688297</v>
      </c>
      <c r="D81" s="27" t="n">
        <f aca="false">SUMPRODUCT(($B$42:$G$42&gt;0)*$B$42:$G$42,$B$6:$G$6)</f>
        <v>0</v>
      </c>
      <c r="E81" s="27" t="n">
        <f aca="false">SUMPRODUCT(($B$42:$G$42&lt;0)*(-$B$42:$G$42),$B$6:$G$6)</f>
        <v>310886.636703349</v>
      </c>
      <c r="F81" s="45" t="n">
        <f aca="false">IF(E81=0,"n.a.",D81/E81)</f>
        <v>0</v>
      </c>
      <c r="G81" s="46" t="str">
        <f aca="false">IF(COUNT(AM6:AQ6)=0,"No recupera en 5 años",MIN(AM6:AQ6))</f>
        <v>No recupera en 5 años</v>
      </c>
    </row>
    <row r="82" customFormat="false" ht="15" hidden="false" customHeight="false" outlineLevel="0" collapsed="false">
      <c r="A82" s="7" t="s">
        <v>9</v>
      </c>
      <c r="B82" s="6" t="n">
        <f aca="false">SUMPRODUCT($B$57:$G$57,$B$6:$G$6)</f>
        <v>-178455.165408152</v>
      </c>
      <c r="C82" s="27" t="n">
        <f aca="false">B82*Factores!$C$14</f>
        <v>-54501.8817138187</v>
      </c>
      <c r="D82" s="27" t="n">
        <f aca="false">SUMPRODUCT(($B$57:$G$57&gt;0)*$B$57:$G$57,$B$6:$G$6)</f>
        <v>1412.62731673394</v>
      </c>
      <c r="E82" s="27" t="n">
        <f aca="false">SUMPRODUCT(($B$57:$G$57&lt;0)*(-$B$57:$G$57),$B$6:$G$6)</f>
        <v>179867.792724886</v>
      </c>
      <c r="F82" s="45" t="n">
        <f aca="false">IF(E82=0,"n.a.",D82/E82)</f>
        <v>0.00785369795967087</v>
      </c>
      <c r="G82" s="46" t="str">
        <f aca="false">IF(COUNT(AM7:AQ7)=0,"No recupera en 5 años",MIN(AM7:AQ7))</f>
        <v>No recupera en 5 años</v>
      </c>
    </row>
    <row r="83" customFormat="false" ht="15" hidden="false" customHeight="false" outlineLevel="0" collapsed="false">
      <c r="A83" s="7" t="s">
        <v>10</v>
      </c>
      <c r="B83" s="6" t="n">
        <f aca="false">SUMPRODUCT($B$60:$G$60,$B$6:$G$6)</f>
        <v>-489341.8021115</v>
      </c>
      <c r="C83" s="27" t="n">
        <f aca="false">B83*Factores!$C$14</f>
        <v>-149449.577182648</v>
      </c>
      <c r="D83" s="27" t="n">
        <f aca="false">SUMPRODUCT(($B$60:$G$60&gt;0)*$B$60:$G$60,$B$6:$G$6)</f>
        <v>0</v>
      </c>
      <c r="E83" s="27" t="n">
        <f aca="false">SUMPRODUCT(($B$60:$G$60&lt;0)*(-$B$60:$G$60),$B$6:$G$6)</f>
        <v>489341.8021115</v>
      </c>
      <c r="F83" s="45" t="n">
        <f aca="false">IF(E83=0,"n.a.",D83/E83)</f>
        <v>0</v>
      </c>
      <c r="G83" s="46" t="str">
        <f aca="false">IF(COUNT(AM8:AQ8)=0,"No recupera en 5 años",MIN(AM8:AQ8))</f>
        <v>No recupera en 5 años</v>
      </c>
    </row>
    <row r="84" customFormat="false" ht="15" hidden="false" customHeight="false" outlineLevel="0" collapsed="false">
      <c r="A84" s="7" t="s">
        <v>381</v>
      </c>
      <c r="B84" s="6" t="n">
        <f aca="false">SUMPRODUCT($B$61:$G$61,$B$6:$G$6)</f>
        <v>-628809.3473675</v>
      </c>
      <c r="C84" s="27" t="n">
        <f aca="false">B84*Factores!$C$14</f>
        <v>-192044.273935046</v>
      </c>
      <c r="D84" s="27" t="n">
        <f aca="false">SUMPRODUCT(($B$61:$G$61&gt;0)*$B$61:$G$61,$B$6:$G$6)</f>
        <v>83044.1523268652</v>
      </c>
      <c r="E84" s="27" t="n">
        <f aca="false">SUMPRODUCT(($B$61:$G$61&lt;0)*(-$B$61:$G$61),$B$6:$G$6)</f>
        <v>711853.499694365</v>
      </c>
      <c r="F84" s="45" t="n">
        <f aca="false">IF(E84=0,"n.a.",D84/E84)</f>
        <v>0.116659049035399</v>
      </c>
      <c r="G84" s="46" t="str">
        <f aca="false">IF(COUNT(AM9:AQ9)=0,"No recupera en 5 años",MIN(AM9:AQ9))</f>
        <v>No recupera en 5 años</v>
      </c>
    </row>
    <row r="85" customFormat="false" ht="15" hidden="false" customHeight="false" outlineLevel="0" collapsed="false">
      <c r="A85" s="7" t="s">
        <v>383</v>
      </c>
      <c r="B85" s="6" t="n">
        <f aca="false">SUMPRODUCT($B$70:$G$70,$B$6:$G$6)</f>
        <v>-547968.957007543</v>
      </c>
      <c r="C85" s="27" t="n">
        <f aca="false">B85*Factores!$C$14</f>
        <v>-167354.860305464</v>
      </c>
      <c r="D85" s="27" t="n">
        <f aca="false">SUMPRODUCT(($B$70:$G$70&gt;0)*$B$70:$G$70,$B$6:$G$6)</f>
        <v>83044.1523268652</v>
      </c>
      <c r="E85" s="27" t="n">
        <f aca="false">SUMPRODUCT(($B$70:$G$70&lt;0)*(-$B$70:$G$70),$B$6:$G$6)</f>
        <v>631013.109334408</v>
      </c>
      <c r="F85" s="45" t="n">
        <f aca="false">IF(E85=0,"n.a.",D85/E85)</f>
        <v>0.131604480316518</v>
      </c>
      <c r="G85" s="46" t="str">
        <f aca="false">IF(COUNT(AM10:AQ10)=0,"No recupera en 5 años",MIN(AM10:AQ10))</f>
        <v>No recupera en 5 años</v>
      </c>
    </row>
    <row r="86" customFormat="false" ht="15" hidden="false" customHeight="false" outlineLevel="0" collapsed="false">
      <c r="A86" s="7" t="s">
        <v>385</v>
      </c>
      <c r="B86" s="6" t="n">
        <f aca="false">SUMPRODUCT($B$76:$G$76,$B$6:$G$6)</f>
        <v>-95679.0004776892</v>
      </c>
      <c r="C86" s="27" t="n">
        <f aca="false">B86*Factores!$C$14</f>
        <v>-29221.2643697071</v>
      </c>
      <c r="D86" s="27" t="n">
        <f aca="false">SUMPRODUCT(($B$76:$G$76&gt;0)*$B$76:$G$76,$B$6:$G$6)</f>
        <v>111353.30697189</v>
      </c>
      <c r="E86" s="27" t="n">
        <f aca="false">SUMPRODUCT(($B$76:$G$76&lt;0)*(-$B$76:$G$76),$B$6:$G$6)</f>
        <v>207032.307449579</v>
      </c>
      <c r="F86" s="45" t="n">
        <f aca="false">IF(E86=0,"n.a.",D86/E86)</f>
        <v>0.537854735541742</v>
      </c>
      <c r="G86" s="46" t="str">
        <f aca="false">IF(COUNT(AM11:AQ11)=0,"No recupera en 5 años",MIN(AM11:AQ11))</f>
        <v>No recupera en 5 años</v>
      </c>
    </row>
    <row r="87" customFormat="false" ht="15" hidden="false" customHeight="false" outlineLevel="0" collapsed="false">
      <c r="A87" s="7" t="s">
        <v>387</v>
      </c>
      <c r="B87" s="6" t="n">
        <f aca="false">SUMPRODUCT($B$27:$G$27,$B$7:$G$7)</f>
        <v>-180764.766309381</v>
      </c>
      <c r="C87" s="27" t="n">
        <f aca="false">B87*(Tasas!$C$13*(1+Tasas!$C$13)^5)/((1+Tasas!$C$13)^5-1)</f>
        <v>-64064.7007466363</v>
      </c>
      <c r="D87" s="27" t="n">
        <f aca="false">SUMPRODUCT(($B$27:$G$27&gt;0)*$B$27:$G$27,$B$7:$G$7)</f>
        <v>107752.990092793</v>
      </c>
      <c r="E87" s="27" t="n">
        <f aca="false">SUMPRODUCT(($B$27:$G$27&lt;0)*(-$B$27:$G$27),$B$7:$G$7)</f>
        <v>288517.756402173</v>
      </c>
      <c r="F87" s="45" t="n">
        <f aca="false">IF(E87=0,"n.a.",D87/E87)</f>
        <v>0.373470913667416</v>
      </c>
      <c r="G87" s="46" t="str">
        <f aca="false">IF(COUNT(AM12:AQ12)=0,"No recupera en 5 años",MIN(AM12:AQ12))</f>
        <v>No recupera en 5 años</v>
      </c>
    </row>
    <row r="88" customFormat="false" ht="15" hidden="false" customHeight="false" outlineLevel="0" collapsed="false">
      <c r="A88" s="7" t="s">
        <v>389</v>
      </c>
      <c r="B88" s="6" t="n">
        <f aca="false">SUMPRODUCT($B$62:$G$62,$B$7:$G$7)</f>
        <v>-792195.240576112</v>
      </c>
      <c r="C88" s="27" t="n">
        <f aca="false">B88*(Tasas!$C$13*(1+Tasas!$C$13)^5)/((1+Tasas!$C$13)^5-1)</f>
        <v>-280761.301312204</v>
      </c>
      <c r="D88" s="27" t="n">
        <f aca="false">SUMPRODUCT(($B$62:$G$62&gt;0)*$B$62:$G$62,$B$7:$G$7)</f>
        <v>54514.98046489</v>
      </c>
      <c r="E88" s="27" t="n">
        <f aca="false">SUMPRODUCT(($B$62:$G$62&lt;0)*(-$B$62:$G$62),$B$7:$G$7)</f>
        <v>846710.221041002</v>
      </c>
      <c r="F88" s="45" t="n">
        <f aca="false">IF(E88=0,"n.a.",D88/E88)</f>
        <v>0.0643844601259988</v>
      </c>
      <c r="G88" s="46" t="str">
        <f aca="false">IF(COUNT(AM13:AQ13)=0,"No recupera en 5 años",MIN(AM13:AQ13))</f>
        <v>No recupera en 5 años</v>
      </c>
    </row>
    <row r="90" customFormat="false" ht="39.55" hidden="false" customHeight="false" outlineLevel="0" collapsed="false">
      <c r="A90" s="3" t="s">
        <v>15</v>
      </c>
      <c r="B90" s="3" t="s">
        <v>435</v>
      </c>
      <c r="C90" s="3" t="s">
        <v>436</v>
      </c>
      <c r="D90" s="3" t="s">
        <v>437</v>
      </c>
      <c r="E90" s="3" t="s">
        <v>438</v>
      </c>
      <c r="F90" s="3" t="s">
        <v>96</v>
      </c>
      <c r="G90" s="3" t="s">
        <v>439</v>
      </c>
    </row>
    <row r="91" customFormat="false" ht="15" hidden="false" customHeight="false" outlineLevel="0" collapsed="false">
      <c r="A91" s="7" t="s">
        <v>376</v>
      </c>
      <c r="B91" s="47" t="n">
        <f aca="false">IF(OR(MAX($J$5:$AD$5)&lt;0,MIN($J$5:$AD$5)&gt;0),"-",INDEX($J$4:$AD$4,MATCH(0,$J$5:$AD$5,-1)))</f>
        <v>-0.05</v>
      </c>
      <c r="C91" s="27" t="n">
        <f aca="false">IF(OR(MAX($J$5:$AD$5)&lt;0,MIN($J$5:$AD$5)&gt;0),"-",INDEX($J$5:$AD$5,MATCH(0,$J$5:$AD$5,-1)))</f>
        <v>52997.7388749962</v>
      </c>
      <c r="D91" s="47" t="n">
        <f aca="false">IF(OR(MAX($J$5:$AD$5)&lt;0,MIN($J$5:$AD$5)&gt;0),"-",INDEX($J$4:$AD$4,MATCH(0,$J$5:$AD$5,-1)+1))</f>
        <v>0</v>
      </c>
      <c r="E91" s="27" t="n">
        <f aca="false">IF(OR(MAX($J$5:$AD$5)&lt;0,MIN($J$5:$AD$5)&gt;0),"-",INDEX($J$5:$AD$5,MATCH(0,$J$5:$AD$5,-1)+1))</f>
        <v>-14813.9936476834</v>
      </c>
      <c r="F91" s="33" t="n">
        <f aca="false">IF(OR(MAX($J$5:$AD$5)&lt;0,MIN($J$5:$AD$5)&gt;0),"No existe",B91+C91/(C91-E91)*(D91-B91))</f>
        <v>-0.0109228839144678</v>
      </c>
      <c r="G91" s="32" t="n">
        <f aca="false">IFERROR(IRR($B$26:$G$26),"No existe")</f>
        <v>-0.0122416027130766</v>
      </c>
    </row>
    <row r="92" customFormat="false" ht="15" hidden="false" customHeight="false" outlineLevel="0" collapsed="false">
      <c r="A92" s="7" t="s">
        <v>8</v>
      </c>
      <c r="B92" s="47" t="str">
        <f aca="false">IF(OR(MAX($J$6:$AD$6)&lt;0,MIN($J$6:$AD$6)&gt;0),"-",INDEX($J$4:$AD$4,MATCH(0,$J$6:$AD$6,-1)))</f>
        <v>-</v>
      </c>
      <c r="C92" s="27" t="str">
        <f aca="false">IF(OR(MAX($J$6:$AD$6)&lt;0,MIN($J$6:$AD$6)&gt;0),"-",INDEX($J$6:$AD$6,MATCH(0,$J$6:$AD$6,-1)))</f>
        <v>-</v>
      </c>
      <c r="D92" s="47" t="str">
        <f aca="false">IF(OR(MAX($J$6:$AD$6)&lt;0,MIN($J$6:$AD$6)&gt;0),"-",INDEX($J$4:$AD$4,MATCH(0,$J$6:$AD$6,-1)+1))</f>
        <v>-</v>
      </c>
      <c r="E92" s="27" t="str">
        <f aca="false">IF(OR(MAX($J$6:$AD$6)&lt;0,MIN($J$6:$AD$6)&gt;0),"-",INDEX($J$6:$AD$6,MATCH(0,$J$6:$AD$6,-1)+1))</f>
        <v>-</v>
      </c>
      <c r="F92" s="33" t="str">
        <f aca="false">IF(OR(MAX($J$6:$AD$6)&lt;0,MIN($J$6:$AD$6)&gt;0),"No existe",B92+C92/(C92-E92)*(D92-B92))</f>
        <v>No existe</v>
      </c>
      <c r="G92" s="32" t="str">
        <f aca="false">IFERROR(IRR($B$42:$G$42),"No existe")</f>
        <v>No existe</v>
      </c>
    </row>
    <row r="93" customFormat="false" ht="15" hidden="false" customHeight="false" outlineLevel="0" collapsed="false">
      <c r="A93" s="7" t="s">
        <v>9</v>
      </c>
      <c r="B93" s="47" t="str">
        <f aca="false">IF(OR(MAX($J$7:$AD$7)&lt;0,MIN($J$7:$AD$7)&gt;0),"-",INDEX($J$4:$AD$4,MATCH(0,$J$7:$AD$7,-1)))</f>
        <v>-</v>
      </c>
      <c r="C93" s="27" t="str">
        <f aca="false">IF(OR(MAX($J$7:$AD$7)&lt;0,MIN($J$7:$AD$7)&gt;0),"-",INDEX($J$7:$AD$7,MATCH(0,$J$7:$AD$7,-1)))</f>
        <v>-</v>
      </c>
      <c r="D93" s="47" t="str">
        <f aca="false">IF(OR(MAX($J$7:$AD$7)&lt;0,MIN($J$7:$AD$7)&gt;0),"-",INDEX($J$4:$AD$4,MATCH(0,$J$7:$AD$7,-1)+1))</f>
        <v>-</v>
      </c>
      <c r="E93" s="27" t="str">
        <f aca="false">IF(OR(MAX($J$7:$AD$7)&lt;0,MIN($J$7:$AD$7)&gt;0),"-",INDEX($J$7:$AD$7,MATCH(0,$J$7:$AD$7,-1)+1))</f>
        <v>-</v>
      </c>
      <c r="F93" s="33" t="str">
        <f aca="false">IF(OR(MAX($J$7:$AD$7)&lt;0,MIN($J$7:$AD$7)&gt;0),"No existe",B93+C93/(C93-E93)*(D93-B93))</f>
        <v>No existe</v>
      </c>
      <c r="G93" s="32" t="str">
        <f aca="false">IFERROR(IRR($B$57:$G$57),"No existe")</f>
        <v>No existe</v>
      </c>
    </row>
    <row r="94" customFormat="false" ht="15" hidden="false" customHeight="false" outlineLevel="0" collapsed="false">
      <c r="A94" s="7" t="s">
        <v>10</v>
      </c>
      <c r="B94" s="47" t="str">
        <f aca="false">IF(OR(MAX($J$8:$AD$8)&lt;0,MIN($J$8:$AD$8)&gt;0),"-",INDEX($J$4:$AD$4,MATCH(0,$J$8:$AD$8,-1)))</f>
        <v>-</v>
      </c>
      <c r="C94" s="27" t="str">
        <f aca="false">IF(OR(MAX($J$8:$AD$8)&lt;0,MIN($J$8:$AD$8)&gt;0),"-",INDEX($J$8:$AD$8,MATCH(0,$J$8:$AD$8,-1)))</f>
        <v>-</v>
      </c>
      <c r="D94" s="47" t="str">
        <f aca="false">IF(OR(MAX($J$8:$AD$8)&lt;0,MIN($J$8:$AD$8)&gt;0),"-",INDEX($J$4:$AD$4,MATCH(0,$J$8:$AD$8,-1)+1))</f>
        <v>-</v>
      </c>
      <c r="E94" s="27" t="str">
        <f aca="false">IF(OR(MAX($J$8:$AD$8)&lt;0,MIN($J$8:$AD$8)&gt;0),"-",INDEX($J$8:$AD$8,MATCH(0,$J$8:$AD$8,-1)+1))</f>
        <v>-</v>
      </c>
      <c r="F94" s="33" t="str">
        <f aca="false">IF(OR(MAX($J$8:$AD$8)&lt;0,MIN($J$8:$AD$8)&gt;0),"No existe",B94+C94/(C94-E94)*(D94-B94))</f>
        <v>No existe</v>
      </c>
      <c r="G94" s="32" t="str">
        <f aca="false">IFERROR(IRR($B$60:$G$60),"No existe")</f>
        <v>No existe</v>
      </c>
    </row>
    <row r="95" customFormat="false" ht="15" hidden="false" customHeight="false" outlineLevel="0" collapsed="false">
      <c r="A95" s="7" t="s">
        <v>381</v>
      </c>
      <c r="B95" s="47" t="n">
        <f aca="false">IF(OR(MAX($J$9:$AD$9)&lt;0,MIN($J$9:$AD$9)&gt;0),"-",INDEX($J$4:$AD$4,MATCH(0,$J$9:$AD$9,-1)))</f>
        <v>-0.3</v>
      </c>
      <c r="C95" s="27" t="n">
        <f aca="false">IF(OR(MAX($J$9:$AD$9)&lt;0,MIN($J$9:$AD$9)&gt;0),"-",INDEX($J$9:$AD$9,MATCH(0,$J$9:$AD$9,-1)))</f>
        <v>12684.2786648389</v>
      </c>
      <c r="D95" s="47" t="n">
        <f aca="false">IF(OR(MAX($J$9:$AD$9)&lt;0,MIN($J$9:$AD$9)&gt;0),"-",INDEX($J$4:$AD$4,MATCH(0,$J$9:$AD$9,-1)+1))</f>
        <v>-0.25</v>
      </c>
      <c r="E95" s="27" t="n">
        <f aca="false">IF(OR(MAX($J$9:$AD$9)&lt;0,MIN($J$9:$AD$9)&gt;0),"-",INDEX($J$9:$AD$9,MATCH(0,$J$9:$AD$9,-1)+1))</f>
        <v>-225163.980887232</v>
      </c>
      <c r="F95" s="33" t="n">
        <f aca="false">IF(OR(MAX($J$9:$AD$9)&lt;0,MIN($J$9:$AD$9)&gt;0),"No existe",B95+C95/(C95-E95)*(D95-B95))</f>
        <v>-0.297333535530441</v>
      </c>
      <c r="G95" s="32" t="str">
        <f aca="false">IFERROR(IRR($B$61:$G$61),"No existe")</f>
        <v>No existe</v>
      </c>
    </row>
    <row r="96" customFormat="false" ht="15" hidden="false" customHeight="false" outlineLevel="0" collapsed="false">
      <c r="A96" s="7" t="s">
        <v>383</v>
      </c>
      <c r="B96" s="47" t="str">
        <f aca="false">IF(OR(MAX($J$10:$AD$10)&lt;0,MIN($J$10:$AD$10)&gt;0),"-",INDEX($J$4:$AD$4,MATCH(0,$J$10:$AD$10,-1)))</f>
        <v>-</v>
      </c>
      <c r="C96" s="27" t="str">
        <f aca="false">IF(OR(MAX($J$10:$AD$10)&lt;0,MIN($J$10:$AD$10)&gt;0),"-",INDEX($J$10:$AD$10,MATCH(0,$J$10:$AD$10,-1)))</f>
        <v>-</v>
      </c>
      <c r="D96" s="47" t="str">
        <f aca="false">IF(OR(MAX($J$10:$AD$10)&lt;0,MIN($J$10:$AD$10)&gt;0),"-",INDEX($J$4:$AD$4,MATCH(0,$J$10:$AD$10,-1)+1))</f>
        <v>-</v>
      </c>
      <c r="E96" s="27" t="str">
        <f aca="false">IF(OR(MAX($J$10:$AD$10)&lt;0,MIN($J$10:$AD$10)&gt;0),"-",INDEX($J$10:$AD$10,MATCH(0,$J$10:$AD$10,-1)+1))</f>
        <v>-</v>
      </c>
      <c r="F96" s="33" t="str">
        <f aca="false">IF(OR(MAX($J$10:$AD$10)&lt;0,MIN($J$10:$AD$10)&gt;0),"No existe",B96+C96/(C96-E96)*(D96-B96))</f>
        <v>No existe</v>
      </c>
      <c r="G96" s="32" t="str">
        <f aca="false">IFERROR(IRR($B$70:$G$70),"No existe")</f>
        <v>No existe</v>
      </c>
    </row>
    <row r="97" customFormat="false" ht="15" hidden="false" customHeight="false" outlineLevel="0" collapsed="false">
      <c r="A97" s="7" t="s">
        <v>385</v>
      </c>
      <c r="B97" s="47" t="n">
        <f aca="false">IF(OR(MAX($J$11:$AD$11)&lt;0,MIN($J$11:$AD$11)&gt;0),"-",INDEX($J$4:$AD$4,MATCH(0,$J$11:$AD$11,-1)))</f>
        <v>-0.1</v>
      </c>
      <c r="C97" s="27" t="n">
        <f aca="false">IF(OR(MAX($J$11:$AD$11)&lt;0,MIN($J$11:$AD$11)&gt;0),"-",INDEX($J$11:$AD$11,MATCH(0,$J$11:$AD$11,-1)))</f>
        <v>46034.6322119722</v>
      </c>
      <c r="D97" s="47" t="n">
        <f aca="false">IF(OR(MAX($J$11:$AD$11)&lt;0,MIN($J$11:$AD$11)&gt;0),"-",INDEX($J$4:$AD$4,MATCH(0,$J$11:$AD$11,-1)+1))</f>
        <v>-0.05</v>
      </c>
      <c r="E97" s="27" t="n">
        <f aca="false">IF(OR(MAX($J$11:$AD$11)&lt;0,MIN($J$11:$AD$11)&gt;0),"-",INDEX($J$11:$AD$11,MATCH(0,$J$11:$AD$11,-1)+1))</f>
        <v>-7913.6053034013</v>
      </c>
      <c r="F97" s="33" t="n">
        <f aca="false">IF(OR(MAX($J$11:$AD$11)&lt;0,MIN($J$11:$AD$11)&gt;0),"No existe",B97+C97/(C97-E97)*(D97-B97))</f>
        <v>-0.0573344428547329</v>
      </c>
      <c r="G97" s="32" t="n">
        <f aca="false">IFERROR(IRR($B$76:$G$76),"No existe")</f>
        <v>-0.0587108916841389</v>
      </c>
    </row>
    <row r="98" customFormat="false" ht="15" hidden="false" customHeight="false" outlineLevel="0" collapsed="false">
      <c r="A98" s="7" t="s">
        <v>387</v>
      </c>
      <c r="B98" s="47" t="n">
        <f aca="false">IF(OR(MAX($J$12:$AD$12)&lt;0,MIN($J$12:$AD$12)&gt;0),"-",INDEX($J$4:$AD$4,MATCH(0,$J$12:$AD$12,-1)))</f>
        <v>-0.05</v>
      </c>
      <c r="C98" s="27" t="n">
        <f aca="false">IF(OR(MAX($J$12:$AD$12)&lt;0,MIN($J$12:$AD$12)&gt;0),"-",INDEX($J$12:$AD$12,MATCH(0,$J$12:$AD$12,-1)))</f>
        <v>50569.1328143165</v>
      </c>
      <c r="D98" s="47" t="n">
        <f aca="false">IF(OR(MAX($J$12:$AD$12)&lt;0,MIN($J$12:$AD$12)&gt;0),"-",INDEX($J$4:$AD$4,MATCH(0,$J$12:$AD$12,-1)+1))</f>
        <v>0</v>
      </c>
      <c r="E98" s="27" t="n">
        <f aca="false">IF(OR(MAX($J$12:$AD$12)&lt;0,MIN($J$12:$AD$12)&gt;0),"-",INDEX($J$12:$AD$12,MATCH(0,$J$12:$AD$12,-1)+1))</f>
        <v>-21012.7569470687</v>
      </c>
      <c r="F98" s="33" t="n">
        <f aca="false">IF(OR(MAX($J$12:$AD$12)&lt;0,MIN($J$12:$AD$12)&gt;0),"No existe",B98+C98/(C98-E98)*(D98-B98))</f>
        <v>-0.0146774254054439</v>
      </c>
      <c r="G98" s="32" t="n">
        <f aca="false">IFERROR(IRR($B$27:$G$27),"No existe")</f>
        <v>-0.016282424417776</v>
      </c>
    </row>
    <row r="99" customFormat="false" ht="15" hidden="false" customHeight="false" outlineLevel="0" collapsed="false">
      <c r="A99" s="7" t="s">
        <v>389</v>
      </c>
      <c r="B99" s="47" t="str">
        <f aca="false">IF(OR(MAX($J$13:$AD$13)&lt;0,MIN($J$13:$AD$13)&gt;0),"-",INDEX($J$4:$AD$4,MATCH(0,$J$13:$AD$13,-1)))</f>
        <v>-</v>
      </c>
      <c r="C99" s="27" t="str">
        <f aca="false">IF(OR(MAX($J$13:$AD$13)&lt;0,MIN($J$13:$AD$13)&gt;0),"-",INDEX($J$13:$AD$13,MATCH(0,$J$13:$AD$13,-1)))</f>
        <v>-</v>
      </c>
      <c r="D99" s="47" t="str">
        <f aca="false">IF(OR(MAX($J$13:$AD$13)&lt;0,MIN($J$13:$AD$13)&gt;0),"-",INDEX($J$4:$AD$4,MATCH(0,$J$13:$AD$13,-1)+1))</f>
        <v>-</v>
      </c>
      <c r="E99" s="27" t="str">
        <f aca="false">IF(OR(MAX($J$13:$AD$13)&lt;0,MIN($J$13:$AD$13)&gt;0),"-",INDEX($J$13:$AD$13,MATCH(0,$J$13:$AD$13,-1)+1))</f>
        <v>-</v>
      </c>
      <c r="F99" s="33" t="str">
        <f aca="false">IF(OR(MAX($J$13:$AD$13)&lt;0,MIN($J$13:$AD$13)&gt;0),"No existe",B99+C99/(C99-E99)*(D99-B99))</f>
        <v>No existe</v>
      </c>
      <c r="G99" s="32" t="str">
        <f aca="false">IFERROR(IRR($B$62:$G$62),"No existe")</f>
        <v>No existe</v>
      </c>
    </row>
    <row r="100" customFormat="false" ht="15" hidden="false" customHeight="false" outlineLevel="0" collapsed="false">
      <c r="A100" s="2" t="s">
        <v>440</v>
      </c>
    </row>
    <row r="102" customFormat="false" ht="39.55" hidden="false" customHeight="false" outlineLevel="0" collapsed="false">
      <c r="A102" s="3" t="s">
        <v>16</v>
      </c>
      <c r="B102" s="3" t="s">
        <v>441</v>
      </c>
      <c r="C102" s="3" t="s">
        <v>442</v>
      </c>
      <c r="D102" s="3" t="s">
        <v>443</v>
      </c>
      <c r="E102" s="3"/>
      <c r="F102" s="3"/>
      <c r="G102" s="3"/>
    </row>
    <row r="103" customFormat="false" ht="15" hidden="false" customHeight="false" outlineLevel="0" collapsed="false">
      <c r="A103" s="7" t="s">
        <v>376</v>
      </c>
      <c r="B103" s="27" t="n">
        <f aca="false">SUMPRODUCT(($B$26:$G$26&lt;0)*(-$B$26:$G$26),(1+Tasas!$C$14)^(-$B$5:$G$5))</f>
        <v>272780.193937243</v>
      </c>
      <c r="C103" s="27" t="n">
        <f aca="false">SUMPRODUCT(($B$26:$G$26&gt;0)*$B$26:$G$26,(1+Tasas!$C$10)^(Supuestos!$C$10-$B$5:$G$5))</f>
        <v>279135.481758307</v>
      </c>
      <c r="D103" s="33" t="n">
        <f aca="false">IF(OR(B103=0,C103=0),"No existe",(C103/B103)^(1/Supuestos!$C$10)-1)</f>
        <v>0.00461681303059236</v>
      </c>
    </row>
    <row r="104" customFormat="false" ht="15" hidden="false" customHeight="false" outlineLevel="0" collapsed="false">
      <c r="A104" s="7" t="s">
        <v>8</v>
      </c>
      <c r="B104" s="27" t="n">
        <f aca="false">SUMPRODUCT(($B$42:$G$42&lt;0)*(-$B$42:$G$42),(1+Tasas!$C$14)^(-$B$5:$G$5))</f>
        <v>323465.918372835</v>
      </c>
      <c r="C104" s="27" t="n">
        <f aca="false">SUMPRODUCT(($B$42:$G$42&gt;0)*$B$42:$G$42,(1+Tasas!$C$10)^(Supuestos!$C$10-$B$5:$G$5))</f>
        <v>0</v>
      </c>
      <c r="D104" s="33" t="str">
        <f aca="false">IF(OR(B104=0,C104=0),"No existe",(C104/B104)^(1/Supuestos!$C$10)-1)</f>
        <v>No existe</v>
      </c>
    </row>
    <row r="105" customFormat="false" ht="15" hidden="false" customHeight="false" outlineLevel="0" collapsed="false">
      <c r="A105" s="7" t="s">
        <v>9</v>
      </c>
      <c r="B105" s="27" t="n">
        <f aca="false">SUMPRODUCT(($B$57:$G$57&lt;0)*(-$B$57:$G$57),(1+Tasas!$C$14)^(-$B$5:$G$5))</f>
        <v>185421.68309125</v>
      </c>
      <c r="C105" s="27" t="n">
        <f aca="false">SUMPRODUCT(($B$57:$G$57&gt;0)*$B$57:$G$57,(1+Tasas!$C$10)^(Supuestos!$C$10-$B$5:$G$5))</f>
        <v>2967</v>
      </c>
      <c r="D105" s="33" t="n">
        <f aca="false">IF(OR(B105=0,C105=0),"No existe",(C105/B105)^(1/Supuestos!$C$10)-1)</f>
        <v>-0.562647709367295</v>
      </c>
    </row>
    <row r="106" customFormat="false" ht="15" hidden="false" customHeight="false" outlineLevel="0" collapsed="false">
      <c r="A106" s="7" t="s">
        <v>10</v>
      </c>
      <c r="B106" s="27" t="n">
        <f aca="false">SUMPRODUCT(($B$60:$G$60&lt;0)*(-$B$60:$G$60),(1+Tasas!$C$14)^(-$B$5:$G$5))</f>
        <v>507223.073975097</v>
      </c>
      <c r="C106" s="27" t="n">
        <f aca="false">SUMPRODUCT(($B$60:$G$60&gt;0)*$B$60:$G$60,(1+Tasas!$C$10)^(Supuestos!$C$10-$B$5:$G$5))</f>
        <v>0</v>
      </c>
      <c r="D106" s="33" t="str">
        <f aca="false">IF(OR(B106=0,C106=0),"No existe",(C106/B106)^(1/Supuestos!$C$10)-1)</f>
        <v>No existe</v>
      </c>
    </row>
    <row r="107" customFormat="false" ht="15" hidden="false" customHeight="false" outlineLevel="0" collapsed="false">
      <c r="A107" s="7" t="s">
        <v>381</v>
      </c>
      <c r="B107" s="27" t="n">
        <f aca="false">SUMPRODUCT(($B$61:$G$61&lt;0)*(-$B$61:$G$61),(1+Tasas!$C$14)^(-$B$5:$G$5))</f>
        <v>723949.174798247</v>
      </c>
      <c r="C107" s="27" t="n">
        <f aca="false">SUMPRODUCT(($B$61:$G$61&gt;0)*$B$61:$G$61,(1+Tasas!$C$10)^(Supuestos!$C$10-$B$5:$G$5))</f>
        <v>174421.092552195</v>
      </c>
      <c r="D107" s="33" t="n">
        <f aca="false">IF(OR(B107=0,C107=0),"No existe",(C107/B107)^(1/Supuestos!$C$10)-1)</f>
        <v>-0.247722305302906</v>
      </c>
    </row>
    <row r="108" customFormat="false" ht="15" hidden="false" customHeight="false" outlineLevel="0" collapsed="false">
      <c r="A108" s="7" t="s">
        <v>383</v>
      </c>
      <c r="B108" s="27" t="n">
        <f aca="false">SUMPRODUCT(($B$70:$G$70&lt;0)*(-$B$70:$G$70),(1+Tasas!$C$14)^(-$B$5:$G$5))</f>
        <v>669095.195464079</v>
      </c>
      <c r="C108" s="27" t="n">
        <f aca="false">SUMPRODUCT(($B$70:$G$70&gt;0)*$B$70:$G$70,(1+Tasas!$C$10)^(Supuestos!$C$10-$B$5:$G$5))</f>
        <v>174421.092552195</v>
      </c>
      <c r="D108" s="33" t="n">
        <f aca="false">IF(OR(B108=0,C108=0),"No existe",(C108/B108)^(1/Supuestos!$C$10)-1)</f>
        <v>-0.235773279681316</v>
      </c>
    </row>
    <row r="109" customFormat="false" ht="15" hidden="false" customHeight="false" outlineLevel="0" collapsed="false">
      <c r="A109" s="7" t="s">
        <v>385</v>
      </c>
      <c r="B109" s="27" t="n">
        <f aca="false">SUMPRODUCT(($B$76:$G$76&lt;0)*(-$B$76:$G$76),(1+Tasas!$C$14)^(-$B$5:$G$5))</f>
        <v>219443.313892182</v>
      </c>
      <c r="C109" s="27" t="n">
        <f aca="false">SUMPRODUCT(($B$76:$G$76&gt;0)*$B$76:$G$76,(1+Tasas!$C$10)^(Supuestos!$C$10-$B$5:$G$5))</f>
        <v>233879.989344581</v>
      </c>
      <c r="D109" s="33" t="n">
        <f aca="false">IF(OR(B109=0,C109=0),"No existe",(C109/B109)^(1/Supuestos!$C$10)-1)</f>
        <v>0.0128243698021102</v>
      </c>
    </row>
    <row r="110" customFormat="false" ht="15" hidden="false" customHeight="false" outlineLevel="0" collapsed="false">
      <c r="A110" s="2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5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445</v>
      </c>
    </row>
    <row r="2" customFormat="false" ht="15" hidden="false" customHeight="false" outlineLevel="0" collapsed="false">
      <c r="A2" s="2" t="s">
        <v>371</v>
      </c>
    </row>
    <row r="3" customFormat="false" ht="15" hidden="false" customHeight="false" outlineLevel="0" collapsed="false">
      <c r="I3" s="39" t="s">
        <v>372</v>
      </c>
      <c r="AF3" s="39" t="s">
        <v>373</v>
      </c>
    </row>
    <row r="4" customFormat="false" ht="15" hidden="false" customHeight="false" outlineLevel="0" collapsed="false">
      <c r="A4" s="3" t="s">
        <v>134</v>
      </c>
      <c r="B4" s="3" t="s">
        <v>374</v>
      </c>
      <c r="C4" s="3" t="s">
        <v>137</v>
      </c>
      <c r="D4" s="3" t="s">
        <v>138</v>
      </c>
      <c r="E4" s="3" t="s">
        <v>139</v>
      </c>
      <c r="F4" s="3" t="s">
        <v>140</v>
      </c>
      <c r="G4" s="3" t="s">
        <v>141</v>
      </c>
      <c r="J4" s="40" t="n">
        <v>-0.4</v>
      </c>
      <c r="K4" s="40" t="n">
        <v>-0.35</v>
      </c>
      <c r="L4" s="40" t="n">
        <v>-0.3</v>
      </c>
      <c r="M4" s="40" t="n">
        <v>-0.25</v>
      </c>
      <c r="N4" s="40" t="n">
        <v>-0.2</v>
      </c>
      <c r="O4" s="40" t="n">
        <v>-0.15</v>
      </c>
      <c r="P4" s="40" t="n">
        <v>-0.1</v>
      </c>
      <c r="Q4" s="40" t="n">
        <v>-0.05</v>
      </c>
      <c r="R4" s="40" t="n">
        <v>0</v>
      </c>
      <c r="S4" s="40" t="n">
        <v>0.05</v>
      </c>
      <c r="T4" s="40" t="n">
        <v>0.1</v>
      </c>
      <c r="U4" s="40" t="n">
        <v>0.15</v>
      </c>
      <c r="V4" s="40" t="n">
        <v>0.2</v>
      </c>
      <c r="W4" s="40" t="n">
        <v>0.25</v>
      </c>
      <c r="X4" s="40" t="n">
        <v>0.3</v>
      </c>
      <c r="Y4" s="40" t="n">
        <v>0.35</v>
      </c>
      <c r="Z4" s="40" t="n">
        <v>0.4</v>
      </c>
      <c r="AA4" s="40" t="n">
        <v>0.45</v>
      </c>
      <c r="AB4" s="40" t="n">
        <v>0.5</v>
      </c>
      <c r="AC4" s="40" t="n">
        <v>0.55</v>
      </c>
      <c r="AD4" s="40" t="n">
        <v>0.6</v>
      </c>
    </row>
    <row r="5" customFormat="false" ht="15" hidden="false" customHeight="false" outlineLevel="0" collapsed="false">
      <c r="A5" s="7" t="s">
        <v>375</v>
      </c>
      <c r="B5" s="34" t="n">
        <v>0</v>
      </c>
      <c r="C5" s="34" t="n">
        <v>1</v>
      </c>
      <c r="D5" s="34" t="n">
        <v>2</v>
      </c>
      <c r="E5" s="34" t="n">
        <v>3</v>
      </c>
      <c r="F5" s="34" t="n">
        <v>4</v>
      </c>
      <c r="G5" s="34" t="n">
        <v>5</v>
      </c>
      <c r="I5" s="39" t="s">
        <v>376</v>
      </c>
      <c r="J5" s="41" t="n">
        <f aca="false">SUMPRODUCT($B$26:$G$26,(1+J$4)^(-$B$5:$G$5))</f>
        <v>6390049.77808206</v>
      </c>
      <c r="K5" s="41" t="n">
        <f aca="false">SUMPRODUCT($B$26:$G$26,(1+K$4)^(-$B$5:$G$5))</f>
        <v>4347479.05632102</v>
      </c>
      <c r="L5" s="41" t="n">
        <f aca="false">SUMPRODUCT($B$26:$G$26,(1+L$4)^(-$B$5:$G$5))</f>
        <v>3031954.07003677</v>
      </c>
      <c r="M5" s="41" t="n">
        <f aca="false">SUMPRODUCT($B$26:$G$26,(1+M$4)^(-$B$5:$G$5))</f>
        <v>2155477.56361288</v>
      </c>
      <c r="N5" s="41" t="n">
        <f aca="false">SUMPRODUCT($B$26:$G$26,(1+N$4)^(-$B$5:$G$5))</f>
        <v>1554098.60240173</v>
      </c>
      <c r="O5" s="41" t="n">
        <f aca="false">SUMPRODUCT($B$26:$G$26,(1+O$4)^(-$B$5:$G$5))</f>
        <v>1130709.88810562</v>
      </c>
      <c r="P5" s="41" t="n">
        <f aca="false">SUMPRODUCT($B$26:$G$26,(1+P$4)^(-$B$5:$G$5))</f>
        <v>825772.635854616</v>
      </c>
      <c r="Q5" s="41" t="n">
        <f aca="false">SUMPRODUCT($B$26:$G$26,(1+Q$4)^(-$B$5:$G$5))</f>
        <v>601654.77895417</v>
      </c>
      <c r="R5" s="41" t="n">
        <f aca="false">SUMPRODUCT($B$26:$G$26,(1+R$4)^(-$B$5:$G$5))</f>
        <v>433920.029053507</v>
      </c>
      <c r="S5" s="41" t="n">
        <f aca="false">SUMPRODUCT($B$26:$G$26,(1+S$4)^(-$B$5:$G$5))</f>
        <v>306313.562695227</v>
      </c>
      <c r="T5" s="41" t="n">
        <f aca="false">SUMPRODUCT($B$26:$G$26,(1+T$4)^(-$B$5:$G$5))</f>
        <v>207785.90393594</v>
      </c>
      <c r="U5" s="41" t="n">
        <f aca="false">SUMPRODUCT($B$26:$G$26,(1+U$4)^(-$B$5:$G$5))</f>
        <v>130677.379425724</v>
      </c>
      <c r="V5" s="41" t="n">
        <f aca="false">SUMPRODUCT($B$26:$G$26,(1+V$4)^(-$B$5:$G$5))</f>
        <v>69582.8101041246</v>
      </c>
      <c r="W5" s="41" t="n">
        <f aca="false">SUMPRODUCT($B$26:$G$26,(1+W$4)^(-$B$5:$G$5))</f>
        <v>20625.4588394618</v>
      </c>
      <c r="X5" s="41" t="n">
        <f aca="false">SUMPRODUCT($B$26:$G$26,(1+X$4)^(-$B$5:$G$5))</f>
        <v>-19016.8867837899</v>
      </c>
      <c r="Y5" s="41" t="n">
        <f aca="false">SUMPRODUCT($B$26:$G$26,(1+Y$4)^(-$B$5:$G$5))</f>
        <v>-51427.0973152346</v>
      </c>
      <c r="Z5" s="41" t="n">
        <f aca="false">SUMPRODUCT($B$26:$G$26,(1+Z$4)^(-$B$5:$G$5))</f>
        <v>-78161.9503139798</v>
      </c>
      <c r="AA5" s="41" t="n">
        <f aca="false">SUMPRODUCT($B$26:$G$26,(1+AA$4)^(-$B$5:$G$5))</f>
        <v>-100398.716175943</v>
      </c>
      <c r="AB5" s="41" t="n">
        <f aca="false">SUMPRODUCT($B$26:$G$26,(1+AB$4)^(-$B$5:$G$5))</f>
        <v>-119037.407753064</v>
      </c>
      <c r="AC5" s="41" t="n">
        <f aca="false">SUMPRODUCT($B$26:$G$26,(1+AC$4)^(-$B$5:$G$5))</f>
        <v>-134773.079963916</v>
      </c>
      <c r="AD5" s="41" t="n">
        <f aca="false">SUMPRODUCT($B$26:$G$26,(1+AD$4)^(-$B$5:$G$5))</f>
        <v>-148147.602802517</v>
      </c>
      <c r="AF5" s="41" t="n">
        <f aca="false">B26*B6</f>
        <v>-260000</v>
      </c>
      <c r="AG5" s="41" t="n">
        <f aca="false">C26*C6+AF5</f>
        <v>-251213.067644126</v>
      </c>
      <c r="AH5" s="41" t="n">
        <f aca="false">D26*D6+AG5</f>
        <v>-207711.605746012</v>
      </c>
      <c r="AI5" s="41" t="n">
        <f aca="false">E26*E6+AH5</f>
        <v>-145747.573337688</v>
      </c>
      <c r="AJ5" s="41" t="n">
        <f aca="false">F26*F6+AI5</f>
        <v>-62699.5584662038</v>
      </c>
      <c r="AK5" s="41" t="n">
        <f aca="false">G26*G6+AJ5</f>
        <v>117319.82275982</v>
      </c>
      <c r="AM5" s="42" t="str">
        <f aca="false">IF(AND(AF5&lt;0,AG5&gt;=0),0+(-AF5)/(C26*C6),"")</f>
        <v/>
      </c>
      <c r="AN5" s="42" t="str">
        <f aca="false">IF(AND(AG5&lt;0,AH5&gt;=0),1+(-AG5)/(D26*D6),"")</f>
        <v/>
      </c>
      <c r="AO5" s="42" t="str">
        <f aca="false">IF(AND(AH5&lt;0,AI5&gt;=0),2+(-AH5)/(E26*E6),"")</f>
        <v/>
      </c>
      <c r="AP5" s="42" t="str">
        <f aca="false">IF(AND(AI5&lt;0,AJ5&gt;=0),3+(-AI5)/(F26*F6),"")</f>
        <v/>
      </c>
      <c r="AQ5" s="42" t="n">
        <f aca="false">IF(AND(AJ5&lt;0,AK5&gt;=0),4+(-AJ5)/(G26*G6),"")</f>
        <v>4.34829337840841</v>
      </c>
    </row>
    <row r="6" customFormat="false" ht="15" hidden="false" customHeight="false" outlineLevel="0" collapsed="false">
      <c r="A6" s="7" t="s">
        <v>377</v>
      </c>
      <c r="B6" s="35" t="n">
        <f aca="false">1/(1+Tasas!$C$10)^B5</f>
        <v>1</v>
      </c>
      <c r="C6" s="35" t="n">
        <f aca="false">1/(1+Tasas!$C$10)^C5</f>
        <v>0.862068965517241</v>
      </c>
      <c r="D6" s="35" t="n">
        <f aca="false">1/(1+Tasas!$C$10)^D5</f>
        <v>0.743162901307967</v>
      </c>
      <c r="E6" s="35" t="n">
        <f aca="false">1/(1+Tasas!$C$10)^E5</f>
        <v>0.640657673541351</v>
      </c>
      <c r="F6" s="35" t="n">
        <f aca="false">1/(1+Tasas!$C$10)^F5</f>
        <v>0.552291097880475</v>
      </c>
      <c r="G6" s="35" t="n">
        <f aca="false">1/(1+Tasas!$C$10)^G5</f>
        <v>0.476113015414203</v>
      </c>
      <c r="I6" s="39" t="s">
        <v>8</v>
      </c>
      <c r="J6" s="41" t="n">
        <f aca="false">SUMPRODUCT($B$42:$G$42,(1+J$4)^(-$B$5:$G$5))</f>
        <v>904964.50617284</v>
      </c>
      <c r="K6" s="41" t="n">
        <f aca="false">SUMPRODUCT($B$42:$G$42,(1+K$4)^(-$B$5:$G$5))</f>
        <v>547778.402770857</v>
      </c>
      <c r="L6" s="41" t="n">
        <f aca="false">SUMPRODUCT($B$42:$G$42,(1+L$4)^(-$B$5:$G$5))</f>
        <v>321383.634795026</v>
      </c>
      <c r="M6" s="41" t="n">
        <f aca="false">SUMPRODUCT($B$42:$G$42,(1+M$4)^(-$B$5:$G$5))</f>
        <v>173403.209876543</v>
      </c>
      <c r="N6" s="41" t="n">
        <f aca="false">SUMPRODUCT($B$42:$G$42,(1+N$4)^(-$B$5:$G$5))</f>
        <v>74136.3525390624</v>
      </c>
      <c r="O6" s="41" t="n">
        <f aca="false">SUMPRODUCT($B$42:$G$42,(1+O$4)^(-$B$5:$G$5))</f>
        <v>6072.99925274169</v>
      </c>
      <c r="P6" s="41" t="n">
        <f aca="false">SUMPRODUCT($B$42:$G$42,(1+P$4)^(-$B$5:$G$5))</f>
        <v>-41464.4490169182</v>
      </c>
      <c r="Q6" s="41" t="n">
        <f aca="false">SUMPRODUCT($B$42:$G$42,(1+Q$4)^(-$B$5:$G$5))</f>
        <v>-75182.561561553</v>
      </c>
      <c r="R6" s="41" t="n">
        <f aca="false">SUMPRODUCT($B$42:$G$42,(1+R$4)^(-$B$5:$G$5))</f>
        <v>-99405</v>
      </c>
      <c r="S6" s="41" t="n">
        <f aca="false">SUMPRODUCT($B$42:$G$42,(1+S$4)^(-$B$5:$G$5))</f>
        <v>-116984.437333944</v>
      </c>
      <c r="T6" s="41" t="n">
        <f aca="false">SUMPRODUCT($B$42:$G$42,(1+T$4)^(-$B$5:$G$5))</f>
        <v>-129842.268908607</v>
      </c>
      <c r="U6" s="41" t="n">
        <f aca="false">SUMPRODUCT($B$42:$G$42,(1+U$4)^(-$B$5:$G$5))</f>
        <v>-139296.795323058</v>
      </c>
      <c r="V6" s="41" t="n">
        <f aca="false">SUMPRODUCT($B$42:$G$42,(1+V$4)^(-$B$5:$G$5))</f>
        <v>-146267.698688272</v>
      </c>
      <c r="W6" s="41" t="n">
        <f aca="false">SUMPRODUCT($B$42:$G$42,(1+W$4)^(-$B$5:$G$5))</f>
        <v>-151406.2784</v>
      </c>
      <c r="X6" s="41" t="n">
        <f aca="false">SUMPRODUCT($B$42:$G$42,(1+X$4)^(-$B$5:$G$5))</f>
        <v>-155180.076785719</v>
      </c>
      <c r="Y6" s="41" t="n">
        <f aca="false">SUMPRODUCT($B$42:$G$42,(1+Y$4)^(-$B$5:$G$5))</f>
        <v>-157928.879844298</v>
      </c>
      <c r="Z6" s="41" t="n">
        <f aca="false">SUMPRODUCT($B$42:$G$42,(1+Z$4)^(-$B$5:$G$5))</f>
        <v>-159902.399297912</v>
      </c>
      <c r="AA6" s="41" t="n">
        <f aca="false">SUMPRODUCT($B$42:$G$42,(1+AA$4)^(-$B$5:$G$5))</f>
        <v>-161286.019886063</v>
      </c>
      <c r="AB6" s="41" t="n">
        <f aca="false">SUMPRODUCT($B$42:$G$42,(1+AB$4)^(-$B$5:$G$5))</f>
        <v>-162218.641975309</v>
      </c>
      <c r="AC6" s="41" t="n">
        <f aca="false">SUMPRODUCT($B$42:$G$42,(1+AC$4)^(-$B$5:$G$5))</f>
        <v>-162805.208491862</v>
      </c>
      <c r="AD6" s="41" t="n">
        <f aca="false">SUMPRODUCT($B$42:$G$42,(1+AD$4)^(-$B$5:$G$5))</f>
        <v>-163125.606536865</v>
      </c>
      <c r="AF6" s="41" t="n">
        <f aca="false">B42*B6</f>
        <v>-130000</v>
      </c>
      <c r="AG6" s="41" t="n">
        <f aca="false">C42*C6+AF6</f>
        <v>-184375</v>
      </c>
      <c r="AH6" s="41" t="n">
        <f aca="false">D42*D6+AG6</f>
        <v>-202482.164090369</v>
      </c>
      <c r="AI6" s="41" t="n">
        <f aca="false">E42*E6+AH6</f>
        <v>-190088.641395711</v>
      </c>
      <c r="AJ6" s="41" t="n">
        <f aca="false">F42*F6+AI6</f>
        <v>-173881.659128409</v>
      </c>
      <c r="AK6" s="41" t="n">
        <f aca="false">G42*G6+AJ6</f>
        <v>-140865.602074511</v>
      </c>
      <c r="AM6" s="42" t="str">
        <f aca="false">IF(AND(AF6&lt;0,AG6&gt;=0),0+(-AF6)/(C42*C6),"")</f>
        <v/>
      </c>
      <c r="AN6" s="42" t="str">
        <f aca="false">IF(AND(AG6&lt;0,AH6&gt;=0),1+(-AG6)/(D42*D6),"")</f>
        <v/>
      </c>
      <c r="AO6" s="42" t="str">
        <f aca="false">IF(AND(AH6&lt;0,AI6&gt;=0),2+(-AH6)/(E42*E6),"")</f>
        <v/>
      </c>
      <c r="AP6" s="42" t="str">
        <f aca="false">IF(AND(AI6&lt;0,AJ6&gt;=0),3+(-AI6)/(F42*F6),"")</f>
        <v/>
      </c>
      <c r="AQ6" s="42" t="str">
        <f aca="false">IF(AND(AJ6&lt;0,AK6&gt;=0),4+(-AJ6)/(G42*G6),"")</f>
        <v/>
      </c>
    </row>
    <row r="7" customFormat="false" ht="15" hidden="false" customHeight="false" outlineLevel="0" collapsed="false">
      <c r="A7" s="7" t="s">
        <v>378</v>
      </c>
      <c r="B7" s="35" t="n">
        <f aca="false">1/(1+Tasas!$C$13)^B5</f>
        <v>1</v>
      </c>
      <c r="C7" s="35" t="n">
        <f aca="false">1/(1+Tasas!$C$13)^C5</f>
        <v>0.815028901734104</v>
      </c>
      <c r="D7" s="35" t="n">
        <f aca="false">1/(1+Tasas!$C$13)^D5</f>
        <v>0.6642721106619</v>
      </c>
      <c r="E7" s="35" t="n">
        <f aca="false">1/(1+Tasas!$C$13)^E5</f>
        <v>0.541400968805364</v>
      </c>
      <c r="F7" s="35" t="n">
        <f aca="false">1/(1+Tasas!$C$13)^F5</f>
        <v>0.441257437003216</v>
      </c>
      <c r="G7" s="35" t="n">
        <f aca="false">1/(1+Tasas!$C$13)^G5</f>
        <v>0.359637564262736</v>
      </c>
      <c r="I7" s="39" t="s">
        <v>9</v>
      </c>
      <c r="J7" s="41" t="n">
        <f aca="false">SUMPRODUCT($B$57:$G$57,(1+J$4)^(-$B$5:$G$5))</f>
        <v>1034112.32510288</v>
      </c>
      <c r="K7" s="41" t="n">
        <f aca="false">SUMPRODUCT($B$57:$G$57,(1+K$4)^(-$B$5:$G$5))</f>
        <v>677674.738494935</v>
      </c>
      <c r="L7" s="41" t="n">
        <f aca="false">SUMPRODUCT($B$57:$G$57,(1+L$4)^(-$B$5:$G$5))</f>
        <v>448107.088713036</v>
      </c>
      <c r="M7" s="41" t="n">
        <f aca="false">SUMPRODUCT($B$57:$G$57,(1+M$4)^(-$B$5:$G$5))</f>
        <v>295354.699588477</v>
      </c>
      <c r="N7" s="41" t="n">
        <f aca="false">SUMPRODUCT($B$57:$G$57,(1+N$4)^(-$B$5:$G$5))</f>
        <v>190830.78125</v>
      </c>
      <c r="O7" s="41" t="n">
        <f aca="false">SUMPRODUCT($B$57:$G$57,(1+O$4)^(-$B$5:$G$5))</f>
        <v>117554.521251084</v>
      </c>
      <c r="P7" s="41" t="n">
        <f aca="false">SUMPRODUCT($B$57:$G$57,(1+P$4)^(-$B$5:$G$5))</f>
        <v>65088.0936171654</v>
      </c>
      <c r="Q7" s="41" t="n">
        <f aca="false">SUMPRODUCT($B$57:$G$57,(1+Q$4)^(-$B$5:$G$5))</f>
        <v>26819.8647469265</v>
      </c>
      <c r="R7" s="41" t="n">
        <f aca="false">SUMPRODUCT($B$57:$G$57,(1+R$4)^(-$B$5:$G$5))</f>
        <v>-1551</v>
      </c>
      <c r="S7" s="41" t="n">
        <f aca="false">SUMPRODUCT($B$57:$G$57,(1+S$4)^(-$B$5:$G$5))</f>
        <v>-22889.2199580765</v>
      </c>
      <c r="T7" s="41" t="n">
        <f aca="false">SUMPRODUCT($B$57:$G$57,(1+T$4)^(-$B$5:$G$5))</f>
        <v>-39143.8721895549</v>
      </c>
      <c r="U7" s="41" t="n">
        <f aca="false">SUMPRODUCT($B$57:$G$57,(1+U$4)^(-$B$5:$G$5))</f>
        <v>-51666.6565035456</v>
      </c>
      <c r="V7" s="41" t="n">
        <f aca="false">SUMPRODUCT($B$57:$G$57,(1+V$4)^(-$B$5:$G$5))</f>
        <v>-61411.3528806584</v>
      </c>
      <c r="W7" s="41" t="n">
        <f aca="false">SUMPRODUCT($B$57:$G$57,(1+W$4)^(-$B$5:$G$5))</f>
        <v>-69061.63456</v>
      </c>
      <c r="X7" s="41" t="n">
        <f aca="false">SUMPRODUCT($B$57:$G$57,(1+X$4)^(-$B$5:$G$5))</f>
        <v>-75114.6462766602</v>
      </c>
      <c r="Y7" s="41" t="n">
        <f aca="false">SUMPRODUCT($B$57:$G$57,(1+Y$4)^(-$B$5:$G$5))</f>
        <v>-79936.6773037138</v>
      </c>
      <c r="Z7" s="41" t="n">
        <f aca="false">SUMPRODUCT($B$57:$G$57,(1+Z$4)^(-$B$5:$G$5))</f>
        <v>-83800.8808829654</v>
      </c>
      <c r="AA7" s="41" t="n">
        <f aca="false">SUMPRODUCT($B$57:$G$57,(1+AA$4)^(-$B$5:$G$5))</f>
        <v>-86913.2319656983</v>
      </c>
      <c r="AB7" s="41" t="n">
        <f aca="false">SUMPRODUCT($B$57:$G$57,(1+AB$4)^(-$B$5:$G$5))</f>
        <v>-89430.6502057613</v>
      </c>
      <c r="AC7" s="41" t="n">
        <f aca="false">SUMPRODUCT($B$57:$G$57,(1+AC$4)^(-$B$5:$G$5))</f>
        <v>-91473.8229897212</v>
      </c>
      <c r="AD7" s="41" t="n">
        <f aca="false">SUMPRODUCT($B$57:$G$57,(1+AD$4)^(-$B$5:$G$5))</f>
        <v>-93136.3916015625</v>
      </c>
      <c r="AF7" s="41" t="n">
        <f aca="false">B57*B6</f>
        <v>-90000</v>
      </c>
      <c r="AG7" s="41" t="n">
        <f aca="false">C57*C6+AF7</f>
        <v>-116850</v>
      </c>
      <c r="AH7" s="41" t="n">
        <f aca="false">D57*D6+AG7</f>
        <v>-119487.485136742</v>
      </c>
      <c r="AI7" s="41" t="n">
        <f aca="false">E57*E6+AH7</f>
        <v>-102158.976382796</v>
      </c>
      <c r="AJ7" s="41" t="n">
        <f aca="false">F57*F6+AI7</f>
        <v>-83354.5690821611</v>
      </c>
      <c r="AK7" s="41" t="n">
        <f aca="false">G57*G6+AJ7</f>
        <v>-53812.7087017407</v>
      </c>
      <c r="AM7" s="42" t="str">
        <f aca="false">IF(AND(AF7&lt;0,AG7&gt;=0),0+(-AF7)/(C57*C6),"")</f>
        <v/>
      </c>
      <c r="AN7" s="42" t="str">
        <f aca="false">IF(AND(AG7&lt;0,AH7&gt;=0),1+(-AG7)/(D57*D6),"")</f>
        <v/>
      </c>
      <c r="AO7" s="42" t="str">
        <f aca="false">IF(AND(AH7&lt;0,AI7&gt;=0),2+(-AH7)/(E57*E6),"")</f>
        <v/>
      </c>
      <c r="AP7" s="42" t="str">
        <f aca="false">IF(AND(AI7&lt;0,AJ7&gt;=0),3+(-AI7)/(F57*F6),"")</f>
        <v/>
      </c>
      <c r="AQ7" s="42" t="str">
        <f aca="false">IF(AND(AJ7&lt;0,AK7&gt;=0),4+(-AJ7)/(G57*G6),"")</f>
        <v/>
      </c>
    </row>
    <row r="8" customFormat="false" ht="15" hidden="false" customHeight="false" outlineLevel="0" collapsed="false">
      <c r="A8" s="7" t="s">
        <v>379</v>
      </c>
      <c r="C8" s="27" t="n">
        <f aca="false">Supuestos!$C$44*((1+Supuestos!$D$81)^1-1)</f>
        <v>89910</v>
      </c>
      <c r="D8" s="27" t="n">
        <f aca="false">Supuestos!$C$44*((1+Supuestos!$D$81)^2-1)</f>
        <v>196003.8</v>
      </c>
      <c r="E8" s="27" t="n">
        <f aca="false">Supuestos!$C$44*((1+Supuestos!$D$81)^3-1)</f>
        <v>321194.484</v>
      </c>
      <c r="F8" s="27" t="n">
        <f aca="false">Supuestos!$C$44*((1+Supuestos!$D$81)^4-1)</f>
        <v>468919.49112</v>
      </c>
      <c r="G8" s="27" t="n">
        <f aca="false">Supuestos!$C$44*((1+Supuestos!$D$81)^5-1)</f>
        <v>643234.9995216</v>
      </c>
      <c r="I8" s="39" t="s">
        <v>10</v>
      </c>
      <c r="J8" s="41" t="n">
        <f aca="false">SUMPRODUCT($B$60:$G$60,(1+J$4)^(-$B$5:$G$5))</f>
        <v>1939076.83127572</v>
      </c>
      <c r="K8" s="41" t="n">
        <f aca="false">SUMPRODUCT($B$60:$G$60,(1+K$4)^(-$B$5:$G$5))</f>
        <v>1225453.14126579</v>
      </c>
      <c r="L8" s="41" t="n">
        <f aca="false">SUMPRODUCT($B$60:$G$60,(1+L$4)^(-$B$5:$G$5))</f>
        <v>769490.723508062</v>
      </c>
      <c r="M8" s="41" t="n">
        <f aca="false">SUMPRODUCT($B$60:$G$60,(1+M$4)^(-$B$5:$G$5))</f>
        <v>468757.909465021</v>
      </c>
      <c r="N8" s="41" t="n">
        <f aca="false">SUMPRODUCT($B$60:$G$60,(1+N$4)^(-$B$5:$G$5))</f>
        <v>264967.133789062</v>
      </c>
      <c r="O8" s="41" t="n">
        <f aca="false">SUMPRODUCT($B$60:$G$60,(1+O$4)^(-$B$5:$G$5))</f>
        <v>123627.520503825</v>
      </c>
      <c r="P8" s="41" t="n">
        <f aca="false">SUMPRODUCT($B$60:$G$60,(1+P$4)^(-$B$5:$G$5))</f>
        <v>23623.6446002472</v>
      </c>
      <c r="Q8" s="41" t="n">
        <f aca="false">SUMPRODUCT($B$60:$G$60,(1+Q$4)^(-$B$5:$G$5))</f>
        <v>-48362.6968146265</v>
      </c>
      <c r="R8" s="41" t="n">
        <f aca="false">SUMPRODUCT($B$60:$G$60,(1+R$4)^(-$B$5:$G$5))</f>
        <v>-100956</v>
      </c>
      <c r="S8" s="41" t="n">
        <f aca="false">SUMPRODUCT($B$60:$G$60,(1+S$4)^(-$B$5:$G$5))</f>
        <v>-139873.657292021</v>
      </c>
      <c r="T8" s="41" t="n">
        <f aca="false">SUMPRODUCT($B$60:$G$60,(1+T$4)^(-$B$5:$G$5))</f>
        <v>-168986.141098162</v>
      </c>
      <c r="U8" s="41" t="n">
        <f aca="false">SUMPRODUCT($B$60:$G$60,(1+U$4)^(-$B$5:$G$5))</f>
        <v>-190963.451826604</v>
      </c>
      <c r="V8" s="41" t="n">
        <f aca="false">SUMPRODUCT($B$60:$G$60,(1+V$4)^(-$B$5:$G$5))</f>
        <v>-207679.05156893</v>
      </c>
      <c r="W8" s="41" t="n">
        <f aca="false">SUMPRODUCT($B$60:$G$60,(1+W$4)^(-$B$5:$G$5))</f>
        <v>-220467.91296</v>
      </c>
      <c r="X8" s="41" t="n">
        <f aca="false">SUMPRODUCT($B$60:$G$60,(1+X$4)^(-$B$5:$G$5))</f>
        <v>-230294.723062379</v>
      </c>
      <c r="Y8" s="41" t="n">
        <f aca="false">SUMPRODUCT($B$60:$G$60,(1+Y$4)^(-$B$5:$G$5))</f>
        <v>-237865.557148011</v>
      </c>
      <c r="Z8" s="41" t="n">
        <f aca="false">SUMPRODUCT($B$60:$G$60,(1+Z$4)^(-$B$5:$G$5))</f>
        <v>-243703.280180877</v>
      </c>
      <c r="AA8" s="41" t="n">
        <f aca="false">SUMPRODUCT($B$60:$G$60,(1+AA$4)^(-$B$5:$G$5))</f>
        <v>-248199.251851761</v>
      </c>
      <c r="AB8" s="41" t="n">
        <f aca="false">SUMPRODUCT($B$60:$G$60,(1+AB$4)^(-$B$5:$G$5))</f>
        <v>-251649.29218107</v>
      </c>
      <c r="AC8" s="41" t="n">
        <f aca="false">SUMPRODUCT($B$60:$G$60,(1+AC$4)^(-$B$5:$G$5))</f>
        <v>-254279.031481583</v>
      </c>
      <c r="AD8" s="41" t="n">
        <f aca="false">SUMPRODUCT($B$60:$G$60,(1+AD$4)^(-$B$5:$G$5))</f>
        <v>-256261.998138428</v>
      </c>
      <c r="AF8" s="41" t="n">
        <f aca="false">B60*B6</f>
        <v>-220000</v>
      </c>
      <c r="AG8" s="41" t="n">
        <f aca="false">C60*C6+AF8</f>
        <v>-301225</v>
      </c>
      <c r="AH8" s="41" t="n">
        <f aca="false">D60*D6+AG8</f>
        <v>-321969.649227111</v>
      </c>
      <c r="AI8" s="41" t="n">
        <f aca="false">E60*E6+AH8</f>
        <v>-292247.617778507</v>
      </c>
      <c r="AJ8" s="41" t="n">
        <f aca="false">F60*F6+AI8</f>
        <v>-257236.22821057</v>
      </c>
      <c r="AK8" s="41" t="n">
        <f aca="false">G60*G6+AJ8</f>
        <v>-194678.310776251</v>
      </c>
      <c r="AM8" s="42" t="str">
        <f aca="false">IF(AND(AF8&lt;0,AG8&gt;=0),0+(-AF8)/(C60*C6),"")</f>
        <v/>
      </c>
      <c r="AN8" s="42" t="str">
        <f aca="false">IF(AND(AG8&lt;0,AH8&gt;=0),1+(-AG8)/(D60*D6),"")</f>
        <v/>
      </c>
      <c r="AO8" s="42" t="str">
        <f aca="false">IF(AND(AH8&lt;0,AI8&gt;=0),2+(-AH8)/(E60*E6),"")</f>
        <v/>
      </c>
      <c r="AP8" s="42" t="str">
        <f aca="false">IF(AND(AI8&lt;0,AJ8&gt;=0),3+(-AI8)/(F60*F6),"")</f>
        <v/>
      </c>
      <c r="AQ8" s="42" t="str">
        <f aca="false">IF(AND(AJ8&lt;0,AK8&gt;=0),4+(-AJ8)/(G60*G6),"")</f>
        <v/>
      </c>
    </row>
    <row r="9" customFormat="false" ht="15" hidden="false" customHeight="false" outlineLevel="0" collapsed="false">
      <c r="A9" s="7" t="s">
        <v>380</v>
      </c>
      <c r="C9" s="27" t="n">
        <f aca="false">Costos_Margenes!$D$24+C8/Supuestos!$C$31+C10/Supuestos!$C$35</f>
        <v>11568.3320272962</v>
      </c>
      <c r="D9" s="27" t="n">
        <f aca="false">Costos_Margenes!$D$24+D8/Supuestos!$C$31+D10/Supuestos!$C$35</f>
        <v>12748.9147190388</v>
      </c>
      <c r="E9" s="27" t="n">
        <f aca="false">Costos_Margenes!$D$24+E8/Supuestos!$C$31+E10/Supuestos!$C$35</f>
        <v>14044.5388806609</v>
      </c>
      <c r="F9" s="27" t="n">
        <f aca="false">Costos_Margenes!$D$24+F8/Supuestos!$C$31+F10/Supuestos!$C$35</f>
        <v>14934.4485621066</v>
      </c>
      <c r="G9" s="27" t="n">
        <f aca="false">Costos_Margenes!$D$24+G8/Supuestos!$C$31+G10/Supuestos!$C$35</f>
        <v>15984.5419862127</v>
      </c>
      <c r="I9" s="39" t="s">
        <v>381</v>
      </c>
      <c r="J9" s="41" t="n">
        <f aca="false">SUMPRODUCT($B$61:$G$61,(1+J$4)^(-$B$5:$G$5))</f>
        <v>8329126.60935778</v>
      </c>
      <c r="K9" s="41" t="n">
        <f aca="false">SUMPRODUCT($B$61:$G$61,(1+K$4)^(-$B$5:$G$5))</f>
        <v>5572932.19758681</v>
      </c>
      <c r="L9" s="41" t="n">
        <f aca="false">SUMPRODUCT($B$61:$G$61,(1+L$4)^(-$B$5:$G$5))</f>
        <v>3801444.79354483</v>
      </c>
      <c r="M9" s="41" t="n">
        <f aca="false">SUMPRODUCT($B$61:$G$61,(1+M$4)^(-$B$5:$G$5))</f>
        <v>2624235.4730779</v>
      </c>
      <c r="N9" s="41" t="n">
        <f aca="false">SUMPRODUCT($B$61:$G$61,(1+N$4)^(-$B$5:$G$5))</f>
        <v>1819065.7361908</v>
      </c>
      <c r="O9" s="41" t="n">
        <f aca="false">SUMPRODUCT($B$61:$G$61,(1+O$4)^(-$B$5:$G$5))</f>
        <v>1254337.40860945</v>
      </c>
      <c r="P9" s="41" t="n">
        <f aca="false">SUMPRODUCT($B$61:$G$61,(1+P$4)^(-$B$5:$G$5))</f>
        <v>849396.280454863</v>
      </c>
      <c r="Q9" s="41" t="n">
        <f aca="false">SUMPRODUCT($B$61:$G$61,(1+Q$4)^(-$B$5:$G$5))</f>
        <v>553292.082139543</v>
      </c>
      <c r="R9" s="41" t="n">
        <f aca="false">SUMPRODUCT($B$61:$G$61,(1+R$4)^(-$B$5:$G$5))</f>
        <v>332964.029053507</v>
      </c>
      <c r="S9" s="41" t="n">
        <f aca="false">SUMPRODUCT($B$61:$G$61,(1+S$4)^(-$B$5:$G$5))</f>
        <v>166439.905403206</v>
      </c>
      <c r="T9" s="41" t="n">
        <f aca="false">SUMPRODUCT($B$61:$G$61,(1+T$4)^(-$B$5:$G$5))</f>
        <v>38799.762837779</v>
      </c>
      <c r="U9" s="41" t="n">
        <f aca="false">SUMPRODUCT($B$61:$G$61,(1+U$4)^(-$B$5:$G$5))</f>
        <v>-60286.0724008799</v>
      </c>
      <c r="V9" s="41" t="n">
        <f aca="false">SUMPRODUCT($B$61:$G$61,(1+V$4)^(-$B$5:$G$5))</f>
        <v>-138096.241464805</v>
      </c>
      <c r="W9" s="41" t="n">
        <f aca="false">SUMPRODUCT($B$61:$G$61,(1+W$4)^(-$B$5:$G$5))</f>
        <v>-199842.454120538</v>
      </c>
      <c r="X9" s="41" t="n">
        <f aca="false">SUMPRODUCT($B$61:$G$61,(1+X$4)^(-$B$5:$G$5))</f>
        <v>-249311.609846169</v>
      </c>
      <c r="Y9" s="41" t="n">
        <f aca="false">SUMPRODUCT($B$61:$G$61,(1+Y$4)^(-$B$5:$G$5))</f>
        <v>-289292.654463246</v>
      </c>
      <c r="Z9" s="41" t="n">
        <f aca="false">SUMPRODUCT($B$61:$G$61,(1+Z$4)^(-$B$5:$G$5))</f>
        <v>-321865.230494857</v>
      </c>
      <c r="AA9" s="41" t="n">
        <f aca="false">SUMPRODUCT($B$61:$G$61,(1+AA$4)^(-$B$5:$G$5))</f>
        <v>-348597.968027704</v>
      </c>
      <c r="AB9" s="41" t="n">
        <f aca="false">SUMPRODUCT($B$61:$G$61,(1+AB$4)^(-$B$5:$G$5))</f>
        <v>-370686.699934134</v>
      </c>
      <c r="AC9" s="41" t="n">
        <f aca="false">SUMPRODUCT($B$61:$G$61,(1+AC$4)^(-$B$5:$G$5))</f>
        <v>-389052.111445499</v>
      </c>
      <c r="AD9" s="41" t="n">
        <f aca="false">SUMPRODUCT($B$61:$G$61,(1+AD$4)^(-$B$5:$G$5))</f>
        <v>-404409.600940945</v>
      </c>
      <c r="AF9" s="41" t="n">
        <f aca="false">B61*B6</f>
        <v>-480000</v>
      </c>
      <c r="AG9" s="41" t="n">
        <f aca="false">C61*C6+AF9</f>
        <v>-552438.067644126</v>
      </c>
      <c r="AH9" s="41" t="n">
        <f aca="false">D61*D6+AG9</f>
        <v>-529681.254973123</v>
      </c>
      <c r="AI9" s="41" t="n">
        <f aca="false">E61*E6+AH9</f>
        <v>-437995.191116195</v>
      </c>
      <c r="AJ9" s="41" t="n">
        <f aca="false">F61*F6+AI9</f>
        <v>-319935.786676774</v>
      </c>
      <c r="AK9" s="41" t="n">
        <f aca="false">G61*G6+AJ9</f>
        <v>-77358.4880164317</v>
      </c>
      <c r="AM9" s="42" t="str">
        <f aca="false">IF(AND(AF9&lt;0,AG9&gt;=0),0+(-AF9)/(C61*C6),"")</f>
        <v/>
      </c>
      <c r="AN9" s="42" t="str">
        <f aca="false">IF(AND(AG9&lt;0,AH9&gt;=0),1+(-AG9)/(D61*D6),"")</f>
        <v/>
      </c>
      <c r="AO9" s="42" t="str">
        <f aca="false">IF(AND(AH9&lt;0,AI9&gt;=0),2+(-AH9)/(E61*E6),"")</f>
        <v/>
      </c>
      <c r="AP9" s="42" t="str">
        <f aca="false">IF(AND(AI9&lt;0,AJ9&gt;=0),3+(-AI9)/(F61*F6),"")</f>
        <v/>
      </c>
      <c r="AQ9" s="42" t="str">
        <f aca="false">IF(AND(AJ9&lt;0,AK9&gt;=0),4+(-AJ9)/(G61*G6),"")</f>
        <v/>
      </c>
    </row>
    <row r="10" customFormat="false" ht="15" hidden="false" customHeight="false" outlineLevel="0" collapsed="false">
      <c r="A10" s="7" t="s">
        <v>382</v>
      </c>
      <c r="C10" s="27" t="n">
        <f aca="false">Supuestos!$C$45*Supuestos!$D$82*MIN(1/3,1)</f>
        <v>55500</v>
      </c>
      <c r="D10" s="27" t="n">
        <f aca="false">Supuestos!$C$45*Supuestos!$D$82*MIN(2/3,1)</f>
        <v>111000</v>
      </c>
      <c r="E10" s="27" t="n">
        <f aca="false">Supuestos!$C$45*Supuestos!$D$82*MIN(3/3,1)</f>
        <v>166500</v>
      </c>
      <c r="F10" s="27" t="n">
        <f aca="false">Supuestos!$C$45*Supuestos!$D$82*MIN(4/3,1)</f>
        <v>166500</v>
      </c>
      <c r="G10" s="27" t="n">
        <f aca="false">Supuestos!$C$45*Supuestos!$D$82*MIN(5/3,1)</f>
        <v>166500</v>
      </c>
      <c r="I10" s="39" t="s">
        <v>383</v>
      </c>
      <c r="J10" s="41" t="n">
        <f aca="false">SUMPRODUCT($B$70:$G$70,(1+J$4)^(-$B$5:$G$5))</f>
        <v>7186310.08124994</v>
      </c>
      <c r="K10" s="41" t="n">
        <f aca="false">SUMPRODUCT($B$70:$G$70,(1+K$4)^(-$B$5:$G$5))</f>
        <v>4704237.81515325</v>
      </c>
      <c r="L10" s="41" t="n">
        <f aca="false">SUMPRODUCT($B$70:$G$70,(1+L$4)^(-$B$5:$G$5))</f>
        <v>3141154.69873121</v>
      </c>
      <c r="M10" s="41" t="n">
        <f aca="false">SUMPRODUCT($B$70:$G$70,(1+M$4)^(-$B$5:$G$5))</f>
        <v>2125909.44449819</v>
      </c>
      <c r="N10" s="41" t="n">
        <f aca="false">SUMPRODUCT($B$70:$G$70,(1+N$4)^(-$B$5:$G$5))</f>
        <v>1449025.56600761</v>
      </c>
      <c r="O10" s="41" t="n">
        <f aca="false">SUMPRODUCT($B$70:$G$70,(1+O$4)^(-$B$5:$G$5))</f>
        <v>987604.538263427</v>
      </c>
      <c r="P10" s="41" t="n">
        <f aca="false">SUMPRODUCT($B$70:$G$70,(1+P$4)^(-$B$5:$G$5))</f>
        <v>667075.891004321</v>
      </c>
      <c r="Q10" s="41" t="n">
        <f aca="false">SUMPRODUCT($B$70:$G$70,(1+Q$4)^(-$B$5:$G$5))</f>
        <v>440840.369810194</v>
      </c>
      <c r="R10" s="41" t="n">
        <f aca="false">SUMPRODUCT($B$70:$G$70,(1+R$4)^(-$B$5:$G$5))</f>
        <v>279011.536205466</v>
      </c>
      <c r="S10" s="41" t="n">
        <f aca="false">SUMPRODUCT($B$70:$G$70,(1+S$4)^(-$B$5:$G$5))</f>
        <v>161974.571742962</v>
      </c>
      <c r="T10" s="41" t="n">
        <f aca="false">SUMPRODUCT($B$70:$G$70,(1+T$4)^(-$B$5:$G$5))</f>
        <v>76588.377451172</v>
      </c>
      <c r="U10" s="41" t="n">
        <f aca="false">SUMPRODUCT($B$70:$G$70,(1+U$4)^(-$B$5:$G$5))</f>
        <v>13885.0402405647</v>
      </c>
      <c r="V10" s="41" t="n">
        <f aca="false">SUMPRODUCT($B$70:$G$70,(1+V$4)^(-$B$5:$G$5))</f>
        <v>-32357.9007321933</v>
      </c>
      <c r="W10" s="41" t="n">
        <f aca="false">SUMPRODUCT($B$70:$G$70,(1+W$4)^(-$B$5:$G$5))</f>
        <v>-66523.1675451189</v>
      </c>
      <c r="X10" s="41" t="n">
        <f aca="false">SUMPRODUCT($B$70:$G$70,(1+X$4)^(-$B$5:$G$5))</f>
        <v>-91739.8632105099</v>
      </c>
      <c r="Y10" s="41" t="n">
        <f aca="false">SUMPRODUCT($B$70:$G$70,(1+Y$4)^(-$B$5:$G$5))</f>
        <v>-110269.724997723</v>
      </c>
      <c r="Z10" s="41" t="n">
        <f aca="false">SUMPRODUCT($B$70:$G$70,(1+Z$4)^(-$B$5:$G$5))</f>
        <v>-123765.933932104</v>
      </c>
      <c r="AA10" s="41" t="n">
        <f aca="false">SUMPRODUCT($B$70:$G$70,(1+AA$4)^(-$B$5:$G$5))</f>
        <v>-133449.198857367</v>
      </c>
      <c r="AB10" s="41" t="n">
        <f aca="false">SUMPRODUCT($B$70:$G$70,(1+AB$4)^(-$B$5:$G$5))</f>
        <v>-140229.254003791</v>
      </c>
      <c r="AC10" s="41" t="n">
        <f aca="false">SUMPRODUCT($B$70:$G$70,(1+AC$4)^(-$B$5:$G$5))</f>
        <v>-144789.787769984</v>
      </c>
      <c r="AD10" s="41" t="n">
        <f aca="false">SUMPRODUCT($B$70:$G$70,(1+AD$4)^(-$B$5:$G$5))</f>
        <v>-147648.527186384</v>
      </c>
      <c r="AF10" s="41" t="n">
        <f aca="false">B70*B6</f>
        <v>0</v>
      </c>
      <c r="AG10" s="41" t="n">
        <f aca="false">C70*C6+AF10</f>
        <v>-223728.247081134</v>
      </c>
      <c r="AH10" s="41" t="n">
        <f aca="false">D70*D6+AG10</f>
        <v>-333080.332973436</v>
      </c>
      <c r="AI10" s="41" t="n">
        <f aca="false">E70*E6+AH10</f>
        <v>-357154.800756238</v>
      </c>
      <c r="AJ10" s="41" t="n">
        <f aca="false">F70*F6+AI10</f>
        <v>-239095.396316817</v>
      </c>
      <c r="AK10" s="41" t="n">
        <f aca="false">G70*G6+AJ10</f>
        <v>3481.90234352532</v>
      </c>
      <c r="AM10" s="42" t="str">
        <f aca="false">IF(AND(AF10&lt;0,AG10&gt;=0),0+(-AF10)/(C70*C6),"")</f>
        <v/>
      </c>
      <c r="AN10" s="42" t="str">
        <f aca="false">IF(AND(AG10&lt;0,AH10&gt;=0),1+(-AG10)/(D70*D6),"")</f>
        <v/>
      </c>
      <c r="AO10" s="42" t="str">
        <f aca="false">IF(AND(AH10&lt;0,AI10&gt;=0),2+(-AH10)/(E70*E6),"")</f>
        <v/>
      </c>
      <c r="AP10" s="42" t="str">
        <f aca="false">IF(AND(AI10&lt;0,AJ10&gt;=0),3+(-AI10)/(F70*F6),"")</f>
        <v/>
      </c>
      <c r="AQ10" s="42" t="n">
        <f aca="false">IF(AND(AJ10&lt;0,AK10&gt;=0),4+(-AJ10)/(G70*G6),"")</f>
        <v>4.9856462151951</v>
      </c>
    </row>
    <row r="11" customFormat="false" ht="15" hidden="false" customHeight="false" outlineLevel="0" collapsed="false">
      <c r="A11" s="7" t="s">
        <v>384</v>
      </c>
      <c r="C11" s="27" t="n">
        <f aca="false">C8*Costos_Margenes!$J$16</f>
        <v>42799.3265060241</v>
      </c>
      <c r="D11" s="27" t="n">
        <f aca="false">D8*Costos_Margenes!$J$16</f>
        <v>93302.5317831325</v>
      </c>
      <c r="E11" s="27" t="n">
        <f aca="false">E8*Costos_Margenes!$J$16</f>
        <v>152896.31401012</v>
      </c>
      <c r="F11" s="27" t="n">
        <f aca="false">F8*Costos_Margenes!$J$16</f>
        <v>223216.977037966</v>
      </c>
      <c r="G11" s="27" t="n">
        <f aca="false">G8*Costos_Margenes!$J$16</f>
        <v>306195.359410824</v>
      </c>
      <c r="I11" s="39" t="s">
        <v>385</v>
      </c>
      <c r="J11" s="41" t="n">
        <f aca="false">SUMPRODUCT($B$76:$G$76,(1+J$4)^(-$B$5:$G$5))</f>
        <v>5771024.15869031</v>
      </c>
      <c r="K11" s="41" t="n">
        <f aca="false">SUMPRODUCT($B$76:$G$76,(1+K$4)^(-$B$5:$G$5))</f>
        <v>3876936.26583617</v>
      </c>
      <c r="L11" s="41" t="n">
        <f aca="false">SUMPRODUCT($B$76:$G$76,(1+L$4)^(-$B$5:$G$5))</f>
        <v>2674296.93534606</v>
      </c>
      <c r="M11" s="41" t="n">
        <f aca="false">SUMPRODUCT($B$76:$G$76,(1+M$4)^(-$B$5:$G$5))</f>
        <v>1885550.96479887</v>
      </c>
      <c r="N11" s="41" t="n">
        <f aca="false">SUMPRODUCT($B$76:$G$76,(1+N$4)^(-$B$5:$G$5))</f>
        <v>1353660.17688584</v>
      </c>
      <c r="O11" s="41" t="n">
        <f aca="false">SUMPRODUCT($B$76:$G$76,(1+O$4)^(-$B$5:$G$5))</f>
        <v>986229.583334861</v>
      </c>
      <c r="P11" s="41" t="n">
        <f aca="false">SUMPRODUCT($B$76:$G$76,(1+P$4)^(-$B$5:$G$5))</f>
        <v>727015.758235572</v>
      </c>
      <c r="Q11" s="41" t="n">
        <f aca="false">SUMPRODUCT($B$76:$G$76,(1+Q$4)^(-$B$5:$G$5))</f>
        <v>540743.434775772</v>
      </c>
      <c r="R11" s="41" t="n">
        <f aca="false">SUMPRODUCT($B$76:$G$76,(1+R$4)^(-$B$5:$G$5))</f>
        <v>404695.762094151</v>
      </c>
      <c r="S11" s="41" t="n">
        <f aca="false">SUMPRODUCT($B$76:$G$76,(1+S$4)^(-$B$5:$G$5))</f>
        <v>303894.840295928</v>
      </c>
      <c r="T11" s="41" t="n">
        <f aca="false">SUMPRODUCT($B$76:$G$76,(1+T$4)^(-$B$5:$G$5))</f>
        <v>228254.736851528</v>
      </c>
      <c r="U11" s="41" t="n">
        <f aca="false">SUMPRODUCT($B$76:$G$76,(1+U$4)^(-$B$5:$G$5))</f>
        <v>170853.398773173</v>
      </c>
      <c r="V11" s="41" t="n">
        <f aca="false">SUMPRODUCT($B$76:$G$76,(1+V$4)^(-$B$5:$G$5))</f>
        <v>126857.744667623</v>
      </c>
      <c r="W11" s="41" t="n">
        <f aca="false">SUMPRODUCT($B$76:$G$76,(1+W$4)^(-$B$5:$G$5))</f>
        <v>92840.0724011472</v>
      </c>
      <c r="X11" s="41" t="n">
        <f aca="false">SUMPRODUCT($B$76:$G$76,(1+X$4)^(-$B$5:$G$5))</f>
        <v>66334.4759771922</v>
      </c>
      <c r="Y11" s="41" t="n">
        <f aca="false">SUMPRODUCT($B$76:$G$76,(1+Y$4)^(-$B$5:$G$5))</f>
        <v>45543.656145257</v>
      </c>
      <c r="Z11" s="41" t="n">
        <f aca="false">SUMPRODUCT($B$76:$G$76,(1+Z$4)^(-$B$5:$G$5))</f>
        <v>29141.835324178</v>
      </c>
      <c r="AA11" s="41" t="n">
        <f aca="false">SUMPRODUCT($B$76:$G$76,(1+AA$4)^(-$B$5:$G$5))</f>
        <v>16140.2004579898</v>
      </c>
      <c r="AB11" s="41" t="n">
        <f aca="false">SUMPRODUCT($B$76:$G$76,(1+AB$4)^(-$B$5:$G$5))</f>
        <v>5793.70879253851</v>
      </c>
      <c r="AC11" s="41" t="n">
        <f aca="false">SUMPRODUCT($B$76:$G$76,(1+AC$4)^(-$B$5:$G$5))</f>
        <v>-2464.32130634531</v>
      </c>
      <c r="AD11" s="41" t="n">
        <f aca="false">SUMPRODUCT($B$76:$G$76,(1+AD$4)^(-$B$5:$G$5))</f>
        <v>-9068.68785213005</v>
      </c>
      <c r="AF11" s="41" t="n">
        <f aca="false">B76*B6</f>
        <v>0</v>
      </c>
      <c r="AG11" s="41" t="n">
        <f aca="false">C76*C6+AF11</f>
        <v>-73161.9148391716</v>
      </c>
      <c r="AH11" s="41" t="n">
        <f aca="false">D76*D6+AG11</f>
        <v>-101219.439662848</v>
      </c>
      <c r="AI11" s="41" t="n">
        <f aca="false">E76*E6+AH11</f>
        <v>-101959.028559378</v>
      </c>
      <c r="AJ11" s="41" t="n">
        <f aca="false">F76*F6+AI11</f>
        <v>-18911.0136878939</v>
      </c>
      <c r="AK11" s="41" t="n">
        <f aca="false">G76*G6+AJ11</f>
        <v>161108.36753813</v>
      </c>
      <c r="AM11" s="42" t="str">
        <f aca="false">IF(AND(AF11&lt;0,AG11&gt;=0),0+(-AF11)/(C76*C6),"")</f>
        <v/>
      </c>
      <c r="AN11" s="42" t="str">
        <f aca="false">IF(AND(AG11&lt;0,AH11&gt;=0),1+(-AG11)/(D76*D6),"")</f>
        <v/>
      </c>
      <c r="AO11" s="42" t="str">
        <f aca="false">IF(AND(AH11&lt;0,AI11&gt;=0),2+(-AH11)/(E76*E6),"")</f>
        <v/>
      </c>
      <c r="AP11" s="42" t="str">
        <f aca="false">IF(AND(AI11&lt;0,AJ11&gt;=0),3+(-AI11)/(F76*F6),"")</f>
        <v/>
      </c>
      <c r="AQ11" s="42" t="n">
        <f aca="false">IF(AND(AJ11&lt;0,AK11&gt;=0),4+(-AJ11)/(G76*G6),"")</f>
        <v>4.10504987606946</v>
      </c>
    </row>
    <row r="12" customFormat="false" ht="15" hidden="false" customHeight="false" outlineLevel="0" collapsed="false">
      <c r="A12" s="7" t="s">
        <v>386</v>
      </c>
      <c r="C12" s="27" t="n">
        <f aca="false">C10*Costos_Margenes!$J$17</f>
        <v>17597.5609756098</v>
      </c>
      <c r="D12" s="27" t="n">
        <f aca="false">D10*Costos_Margenes!$J$17</f>
        <v>35195.1219512195</v>
      </c>
      <c r="E12" s="27" t="n">
        <f aca="false">E10*Costos_Margenes!$J$17</f>
        <v>52792.6829268293</v>
      </c>
      <c r="F12" s="27" t="n">
        <f aca="false">F10*Costos_Margenes!$J$17</f>
        <v>52792.6829268293</v>
      </c>
      <c r="G12" s="27" t="n">
        <f aca="false">G10*Costos_Margenes!$J$17</f>
        <v>52792.6829268293</v>
      </c>
      <c r="I12" s="39" t="s">
        <v>387</v>
      </c>
      <c r="J12" s="41" t="n">
        <f aca="false">SUMPRODUCT($B$27:$G$27,(1+J$4)^(-$B$5:$G$5))</f>
        <v>8082582.2983124</v>
      </c>
      <c r="K12" s="41" t="n">
        <f aca="false">SUMPRODUCT($B$27:$G$27,(1+K$4)^(-$B$5:$G$5))</f>
        <v>5529529.41577917</v>
      </c>
      <c r="L12" s="41" t="n">
        <f aca="false">SUMPRODUCT($B$27:$G$27,(1+L$4)^(-$B$5:$G$5))</f>
        <v>3882239.89537953</v>
      </c>
      <c r="M12" s="41" t="n">
        <f aca="false">SUMPRODUCT($B$27:$G$27,(1+M$4)^(-$B$5:$G$5))</f>
        <v>2782823.25693147</v>
      </c>
      <c r="N12" s="41" t="n">
        <f aca="false">SUMPRODUCT($B$27:$G$27,(1+N$4)^(-$B$5:$G$5))</f>
        <v>2027241.29198921</v>
      </c>
      <c r="O12" s="41" t="n">
        <f aca="false">SUMPRODUCT($B$27:$G$27,(1+O$4)^(-$B$5:$G$5))</f>
        <v>1494469.3051034</v>
      </c>
      <c r="P12" s="41" t="n">
        <f aca="false">SUMPRODUCT($B$27:$G$27,(1+P$4)^(-$B$5:$G$5))</f>
        <v>1110199.47206213</v>
      </c>
      <c r="Q12" s="41" t="n">
        <f aca="false">SUMPRODUCT($B$27:$G$27,(1+Q$4)^(-$B$5:$G$5))</f>
        <v>827399.92402775</v>
      </c>
      <c r="R12" s="41" t="n">
        <f aca="false">SUMPRODUCT($B$27:$G$27,(1+R$4)^(-$B$5:$G$5))</f>
        <v>615489.402912775</v>
      </c>
      <c r="S12" s="41" t="n">
        <f aca="false">SUMPRODUCT($B$27:$G$27,(1+S$4)^(-$B$5:$G$5))</f>
        <v>454098.712621313</v>
      </c>
      <c r="T12" s="41" t="n">
        <f aca="false">SUMPRODUCT($B$27:$G$27,(1+T$4)^(-$B$5:$G$5))</f>
        <v>329363.817057339</v>
      </c>
      <c r="U12" s="41" t="n">
        <f aca="false">SUMPRODUCT($B$27:$G$27,(1+U$4)^(-$B$5:$G$5))</f>
        <v>231661.976342534</v>
      </c>
      <c r="V12" s="41" t="n">
        <f aca="false">SUMPRODUCT($B$27:$G$27,(1+V$4)^(-$B$5:$G$5))</f>
        <v>154194.542871629</v>
      </c>
      <c r="W12" s="41" t="n">
        <f aca="false">SUMPRODUCT($B$27:$G$27,(1+W$4)^(-$B$5:$G$5))</f>
        <v>92079.6539638996</v>
      </c>
      <c r="X12" s="41" t="n">
        <f aca="false">SUMPRODUCT($B$27:$G$27,(1+X$4)^(-$B$5:$G$5))</f>
        <v>41759.3757217165</v>
      </c>
      <c r="Y12" s="41" t="n">
        <f aca="false">SUMPRODUCT($B$27:$G$27,(1+Y$4)^(-$B$5:$G$5))</f>
        <v>605.007795096466</v>
      </c>
      <c r="Z12" s="41" t="n">
        <f aca="false">SUMPRODUCT($B$27:$G$27,(1+Z$4)^(-$B$5:$G$5))</f>
        <v>-33350.2359334833</v>
      </c>
      <c r="AA12" s="41" t="n">
        <f aca="false">SUMPRODUCT($B$27:$G$27,(1+AA$4)^(-$B$5:$G$5))</f>
        <v>-61595.1653215054</v>
      </c>
      <c r="AB12" s="41" t="n">
        <f aca="false">SUMPRODUCT($B$27:$G$27,(1+AB$4)^(-$B$5:$G$5))</f>
        <v>-85269.0444731275</v>
      </c>
      <c r="AC12" s="41" t="n">
        <f aca="false">SUMPRODUCT($B$27:$G$27,(1+AC$4)^(-$B$5:$G$5))</f>
        <v>-105252.491038627</v>
      </c>
      <c r="AD12" s="41" t="n">
        <f aca="false">SUMPRODUCT($B$27:$G$27,(1+AD$4)^(-$B$5:$G$5))</f>
        <v>-122232.629572715</v>
      </c>
      <c r="AF12" s="41" t="n">
        <f aca="false">B27*B7</f>
        <v>-260000</v>
      </c>
      <c r="AG12" s="41" t="n">
        <f aca="false">C27*C7+AF12</f>
        <v>-257765.501118134</v>
      </c>
      <c r="AH12" s="41" t="n">
        <f aca="false">D27*D7+AG12</f>
        <v>-210199.680198996</v>
      </c>
      <c r="AI12" s="41" t="n">
        <f aca="false">E27*E7+AH12</f>
        <v>-138174.317449931</v>
      </c>
      <c r="AJ12" s="41" t="n">
        <f aca="false">F27*F7+AI12</f>
        <v>-46500.4923177643</v>
      </c>
      <c r="AK12" s="41" t="n">
        <f aca="false">G27*G7+AJ12</f>
        <v>119058.956556637</v>
      </c>
      <c r="AM12" s="42" t="str">
        <f aca="false">IF(AND(AF12&lt;0,AG12&gt;=0),0+(-AF12)/(C27*C7),"")</f>
        <v/>
      </c>
      <c r="AN12" s="42" t="str">
        <f aca="false">IF(AND(AG12&lt;0,AH12&gt;=0),1+(-AG12)/(D27*D7),"")</f>
        <v/>
      </c>
      <c r="AO12" s="42" t="str">
        <f aca="false">IF(AND(AH12&lt;0,AI12&gt;=0),2+(-AH12)/(E27*E7),"")</f>
        <v/>
      </c>
      <c r="AP12" s="42" t="str">
        <f aca="false">IF(AND(AI12&lt;0,AJ12&gt;=0),3+(-AI12)/(F27*F7),"")</f>
        <v/>
      </c>
      <c r="AQ12" s="42" t="n">
        <f aca="false">IF(AND(AJ12&lt;0,AK12&gt;=0),4+(-AJ12)/(G27*G7),"")</f>
        <v>4.28086885184694</v>
      </c>
    </row>
    <row r="13" customFormat="false" ht="15" hidden="false" customHeight="false" outlineLevel="0" collapsed="false">
      <c r="A13" s="7" t="s">
        <v>388</v>
      </c>
      <c r="C13" s="27" t="n">
        <f aca="false">C9*(Supuestos!$C$58+Supuestos!$C$59)</f>
        <v>14344.7317138473</v>
      </c>
      <c r="D13" s="27" t="n">
        <f aca="false">D9*(Supuestos!$C$58+Supuestos!$C$59)</f>
        <v>15808.6542516081</v>
      </c>
      <c r="E13" s="27" t="n">
        <f aca="false">E9*(Supuestos!$C$58+Supuestos!$C$59)</f>
        <v>17415.2282120195</v>
      </c>
      <c r="F13" s="27" t="n">
        <f aca="false">F9*(Supuestos!$C$58+Supuestos!$C$59)</f>
        <v>18518.7162170122</v>
      </c>
      <c r="G13" s="27" t="n">
        <f aca="false">G9*(Supuestos!$C$58+Supuestos!$C$59)</f>
        <v>19820.8320629037</v>
      </c>
      <c r="I13" s="39" t="s">
        <v>389</v>
      </c>
      <c r="J13" s="41" t="n">
        <f aca="false">SUMPRODUCT($B$62:$G$62,(1+J$4)^(-$B$5:$G$5))</f>
        <v>10134286.0020161</v>
      </c>
      <c r="K13" s="41" t="n">
        <f aca="false">SUMPRODUCT($B$62:$G$62,(1+K$4)^(-$B$5:$G$5))</f>
        <v>6807897.00148641</v>
      </c>
      <c r="L13" s="41" t="n">
        <f aca="false">SUMPRODUCT($B$62:$G$62,(1+L$4)^(-$B$5:$G$5))</f>
        <v>4667850.53380399</v>
      </c>
      <c r="M13" s="41" t="n">
        <f aca="false">SUMPRODUCT($B$62:$G$62,(1+M$4)^(-$B$5:$G$5))</f>
        <v>3244610.91125246</v>
      </c>
      <c r="N13" s="41" t="n">
        <f aca="false">SUMPRODUCT($B$62:$G$62,(1+N$4)^(-$B$5:$G$5))</f>
        <v>2270604.57323921</v>
      </c>
      <c r="O13" s="41" t="n">
        <f aca="false">SUMPRODUCT($B$62:$G$62,(1+O$4)^(-$B$5:$G$5))</f>
        <v>1587214.90976641</v>
      </c>
      <c r="P13" s="41" t="n">
        <f aca="false">SUMPRODUCT($B$62:$G$62,(1+P$4)^(-$B$5:$G$5))</f>
        <v>1097127.58261439</v>
      </c>
      <c r="Q13" s="41" t="n">
        <f aca="false">SUMPRODUCT($B$62:$G$62,(1+Q$4)^(-$B$5:$G$5))</f>
        <v>738807.640762824</v>
      </c>
      <c r="R13" s="41" t="n">
        <f aca="false">SUMPRODUCT($B$62:$G$62,(1+R$4)^(-$B$5:$G$5))</f>
        <v>472289.402912775</v>
      </c>
      <c r="S13" s="41" t="n">
        <f aca="false">SUMPRODUCT($B$62:$G$62,(1+S$4)^(-$B$5:$G$5))</f>
        <v>270988.994227963</v>
      </c>
      <c r="T13" s="41" t="n">
        <f aca="false">SUMPRODUCT($B$62:$G$62,(1+T$4)^(-$B$5:$G$5))</f>
        <v>116840.815026926</v>
      </c>
      <c r="U13" s="41" t="n">
        <f aca="false">SUMPRODUCT($B$62:$G$62,(1+U$4)^(-$B$5:$G$5))</f>
        <v>-2671.58605462184</v>
      </c>
      <c r="V13" s="41" t="n">
        <f aca="false">SUMPRODUCT($B$62:$G$62,(1+V$4)^(-$B$5:$G$5))</f>
        <v>-96373.3583629393</v>
      </c>
      <c r="W13" s="41" t="n">
        <f aca="false">SUMPRODUCT($B$62:$G$62,(1+W$4)^(-$B$5:$G$5))</f>
        <v>-170587.0980361</v>
      </c>
      <c r="X13" s="41" t="n">
        <f aca="false">SUMPRODUCT($B$62:$G$62,(1+X$4)^(-$B$5:$G$5))</f>
        <v>-229909.096347512</v>
      </c>
      <c r="Y13" s="41" t="n">
        <f aca="false">SUMPRODUCT($B$62:$G$62,(1+Y$4)^(-$B$5:$G$5))</f>
        <v>-277725.737815005</v>
      </c>
      <c r="Z13" s="41" t="n">
        <f aca="false">SUMPRODUCT($B$62:$G$62,(1+Z$4)^(-$B$5:$G$5))</f>
        <v>-316562.944923785</v>
      </c>
      <c r="AA13" s="41" t="n">
        <f aca="false">SUMPRODUCT($B$62:$G$62,(1+AA$4)^(-$B$5:$G$5))</f>
        <v>-348326.391543888</v>
      </c>
      <c r="AB13" s="41" t="n">
        <f aca="false">SUMPRODUCT($B$62:$G$62,(1+AB$4)^(-$B$5:$G$5))</f>
        <v>-374469.044473128</v>
      </c>
      <c r="AC13" s="41" t="n">
        <f aca="false">SUMPRODUCT($B$62:$G$62,(1+AC$4)^(-$B$5:$G$5))</f>
        <v>-396109.601820571</v>
      </c>
      <c r="AD13" s="41" t="n">
        <f aca="false">SUMPRODUCT($B$62:$G$62,(1+AD$4)^(-$B$5:$G$5))</f>
        <v>-414117.273127403</v>
      </c>
      <c r="AF13" s="41" t="n">
        <f aca="false">B62*B7</f>
        <v>-480000</v>
      </c>
      <c r="AG13" s="41" t="n">
        <f aca="false">C62*C7+AF13</f>
        <v>-596922.72655166</v>
      </c>
      <c r="AH13" s="41" t="n">
        <f aca="false">D62*D7+AG13</f>
        <v>-581773.384632823</v>
      </c>
      <c r="AI13" s="41" t="n">
        <f aca="false">E62*E7+AH13</f>
        <v>-479104.727049374</v>
      </c>
      <c r="AJ13" s="41" t="n">
        <f aca="false">F62*F7+AI13</f>
        <v>-354954.354553771</v>
      </c>
      <c r="AK13" s="41" t="n">
        <f aca="false">G62*G7+AJ13</f>
        <v>-138470.226579766</v>
      </c>
      <c r="AM13" s="42" t="str">
        <f aca="false">IF(AND(AF13&lt;0,AG13&gt;=0),0+(-AF13)/(C62*C7),"")</f>
        <v/>
      </c>
      <c r="AN13" s="42" t="str">
        <f aca="false">IF(AND(AG13&lt;0,AH13&gt;=0),1+(-AG13)/(D62*D7),"")</f>
        <v/>
      </c>
      <c r="AO13" s="42" t="str">
        <f aca="false">IF(AND(AH13&lt;0,AI13&gt;=0),2+(-AH13)/(E62*E7),"")</f>
        <v/>
      </c>
      <c r="AP13" s="42" t="str">
        <f aca="false">IF(AND(AI13&lt;0,AJ13&gt;=0),3+(-AI13)/(F62*F7),"")</f>
        <v/>
      </c>
      <c r="AQ13" s="42" t="str">
        <f aca="false">IF(AND(AJ13&lt;0,AK13&gt;=0),4+(-AJ13)/(G62*G7),"")</f>
        <v/>
      </c>
    </row>
    <row r="14" customFormat="false" ht="15" hidden="false" customHeight="false" outlineLevel="0" collapsed="false">
      <c r="A14" s="7" t="s">
        <v>390</v>
      </c>
      <c r="C14" s="27" t="n">
        <f aca="false">-Supuestos!$C$57</f>
        <v>-72000</v>
      </c>
      <c r="D14" s="27" t="n">
        <f aca="false">-Supuestos!$C$57</f>
        <v>-72000</v>
      </c>
      <c r="E14" s="27" t="n">
        <f aca="false">-Supuestos!$C$57</f>
        <v>-72000</v>
      </c>
      <c r="F14" s="27" t="n">
        <f aca="false">-Supuestos!$C$57</f>
        <v>-72000</v>
      </c>
      <c r="G14" s="27" t="n">
        <f aca="false">-Supuestos!$C$57</f>
        <v>-72000</v>
      </c>
    </row>
    <row r="15" customFormat="false" ht="15" hidden="false" customHeight="false" outlineLevel="0" collapsed="false">
      <c r="A15" s="4" t="s">
        <v>391</v>
      </c>
      <c r="C15" s="6" t="n">
        <f aca="false">SUM(C11:C14)</f>
        <v>2741.61919548111</v>
      </c>
      <c r="D15" s="6" t="n">
        <f aca="false">SUM(D11:D14)</f>
        <v>72306.3079859601</v>
      </c>
      <c r="E15" s="6" t="n">
        <f aca="false">SUM(E11:E14)</f>
        <v>151104.225148969</v>
      </c>
      <c r="F15" s="6" t="n">
        <f aca="false">SUM(F11:F14)</f>
        <v>222528.376181808</v>
      </c>
      <c r="G15" s="6" t="n">
        <f aca="false">SUM(G11:G14)</f>
        <v>306808.874400557</v>
      </c>
    </row>
    <row r="16" customFormat="false" ht="15" hidden="false" customHeight="false" outlineLevel="0" collapsed="false">
      <c r="A16" s="7" t="s">
        <v>392</v>
      </c>
      <c r="C16" s="27" t="n">
        <f aca="false">-(Supuestos!$C$52*Supuestos!$C$55+Supuestos!$C$53*Supuestos!$C$56)</f>
        <v>-28000</v>
      </c>
      <c r="D16" s="27" t="n">
        <f aca="false">-(Supuestos!$C$52*Supuestos!$C$55+Supuestos!$C$53*Supuestos!$C$56)</f>
        <v>-28000</v>
      </c>
      <c r="E16" s="27" t="n">
        <f aca="false">-(Supuestos!$C$52*Supuestos!$C$55+Supuestos!$C$53*Supuestos!$C$56)</f>
        <v>-28000</v>
      </c>
      <c r="F16" s="27" t="n">
        <f aca="false">-(Supuestos!$C$52*Supuestos!$C$55+Supuestos!$C$53*Supuestos!$C$56)</f>
        <v>-28000</v>
      </c>
      <c r="G16" s="27" t="n">
        <f aca="false">-(Supuestos!$C$52*Supuestos!$C$55+Supuestos!$C$53*Supuestos!$C$56)</f>
        <v>-28000</v>
      </c>
    </row>
    <row r="17" customFormat="false" ht="15" hidden="false" customHeight="false" outlineLevel="0" collapsed="false">
      <c r="A17" s="7" t="s">
        <v>393</v>
      </c>
      <c r="C17" s="27" t="n">
        <f aca="false">C15+C16</f>
        <v>-25258.3808045189</v>
      </c>
      <c r="D17" s="27" t="n">
        <f aca="false">D15+D16</f>
        <v>44306.3079859601</v>
      </c>
      <c r="E17" s="27" t="n">
        <f aca="false">E15+E16</f>
        <v>123104.225148969</v>
      </c>
      <c r="F17" s="27" t="n">
        <f aca="false">F15+F16</f>
        <v>194528.376181808</v>
      </c>
      <c r="G17" s="27" t="n">
        <f aca="false">G15+G16</f>
        <v>278808.874400557</v>
      </c>
    </row>
    <row r="18" customFormat="false" ht="15" hidden="false" customHeight="false" outlineLevel="0" collapsed="false">
      <c r="A18" s="7" t="s">
        <v>394</v>
      </c>
      <c r="C18" s="27" t="n">
        <f aca="false">-C17*Supuestos!$C$7</f>
        <v>7451.22233733307</v>
      </c>
      <c r="D18" s="27" t="n">
        <f aca="false">-D17*Supuestos!$C$7</f>
        <v>-13070.3608558582</v>
      </c>
      <c r="E18" s="27" t="n">
        <f aca="false">-E17*Supuestos!$C$7</f>
        <v>-36315.7464189459</v>
      </c>
      <c r="F18" s="27" t="n">
        <f aca="false">-F17*Supuestos!$C$7</f>
        <v>-57385.8709736333</v>
      </c>
      <c r="G18" s="27" t="n">
        <f aca="false">-G17*Supuestos!$C$7</f>
        <v>-82248.6179481644</v>
      </c>
    </row>
    <row r="19" customFormat="false" ht="15" hidden="false" customHeight="false" outlineLevel="0" collapsed="false">
      <c r="A19" s="7" t="s">
        <v>395</v>
      </c>
      <c r="C19" s="27" t="n">
        <f aca="false">C17+C18</f>
        <v>-17807.1584671858</v>
      </c>
      <c r="D19" s="27" t="n">
        <f aca="false">D17+D18</f>
        <v>31235.9471301019</v>
      </c>
      <c r="E19" s="27" t="n">
        <f aca="false">E17+E18</f>
        <v>86788.4787300233</v>
      </c>
      <c r="F19" s="27" t="n">
        <f aca="false">F17+F18</f>
        <v>137142.505208174</v>
      </c>
      <c r="G19" s="27" t="n">
        <f aca="false">G17+G18</f>
        <v>196560.256452393</v>
      </c>
    </row>
    <row r="20" customFormat="false" ht="15" hidden="false" customHeight="false" outlineLevel="0" collapsed="false">
      <c r="A20" s="7" t="s">
        <v>396</v>
      </c>
      <c r="C20" s="27" t="n">
        <f aca="false">-C16</f>
        <v>28000</v>
      </c>
      <c r="D20" s="27" t="n">
        <f aca="false">-D16</f>
        <v>28000</v>
      </c>
      <c r="E20" s="27" t="n">
        <f aca="false">-E16</f>
        <v>28000</v>
      </c>
      <c r="F20" s="27" t="n">
        <f aca="false">-F16</f>
        <v>28000</v>
      </c>
      <c r="G20" s="27" t="n">
        <f aca="false">-G16</f>
        <v>28000</v>
      </c>
    </row>
    <row r="21" customFormat="false" ht="15" hidden="false" customHeight="false" outlineLevel="0" collapsed="false">
      <c r="A21" s="7" t="s">
        <v>397</v>
      </c>
      <c r="B21" s="27" t="n">
        <f aca="false">-(Supuestos!$C$52+Supuestos!$C$53)</f>
        <v>-230000</v>
      </c>
    </row>
    <row r="22" customFormat="false" ht="15" hidden="false" customHeight="false" outlineLevel="0" collapsed="false">
      <c r="A22" s="7" t="s">
        <v>398</v>
      </c>
      <c r="B22" s="27" t="n">
        <f aca="false">Supuestos!$C$54</f>
        <v>30000</v>
      </c>
      <c r="C22" s="27" t="n">
        <f aca="false">MAX(Supuestos!$C$54,(C8+C10)*Supuestos!$C$9)</f>
        <v>30000</v>
      </c>
      <c r="D22" s="27" t="n">
        <f aca="false">MAX(Supuestos!$C$54,(D8+D10)*Supuestos!$C$9)</f>
        <v>30700.38</v>
      </c>
      <c r="E22" s="27" t="n">
        <f aca="false">MAX(Supuestos!$C$54,(E8+E10)*Supuestos!$C$9)</f>
        <v>48769.4484</v>
      </c>
      <c r="F22" s="27" t="n">
        <f aca="false">MAX(Supuestos!$C$54,(F8+F10)*Supuestos!$C$9)</f>
        <v>63541.949112</v>
      </c>
      <c r="G22" s="27" t="n">
        <f aca="false">MAX(Supuestos!$C$54,(G8+G10)*Supuestos!$C$9)</f>
        <v>80973.49995216</v>
      </c>
    </row>
    <row r="23" customFormat="false" ht="15" hidden="false" customHeight="false" outlineLevel="0" collapsed="false">
      <c r="A23" s="7" t="s">
        <v>399</v>
      </c>
      <c r="B23" s="27" t="n">
        <f aca="false">-B22</f>
        <v>-30000</v>
      </c>
      <c r="C23" s="27" t="n">
        <f aca="false">-(C22-B22)</f>
        <v>-0</v>
      </c>
      <c r="D23" s="27" t="n">
        <f aca="false">-(D22-C22)</f>
        <v>-700.379999999994</v>
      </c>
      <c r="E23" s="27" t="n">
        <f aca="false">-(E22-D22)</f>
        <v>-18069.0684</v>
      </c>
      <c r="F23" s="27" t="n">
        <f aca="false">-(F22-E22)</f>
        <v>-14772.500712</v>
      </c>
      <c r="G23" s="27" t="n">
        <f aca="false">-(G22-F22)</f>
        <v>-17431.55084016</v>
      </c>
    </row>
    <row r="24" customFormat="false" ht="15" hidden="false" customHeight="false" outlineLevel="0" collapsed="false">
      <c r="A24" s="7" t="s">
        <v>400</v>
      </c>
      <c r="G24" s="27" t="n">
        <f aca="false">G22</f>
        <v>80973.49995216</v>
      </c>
    </row>
    <row r="25" customFormat="false" ht="15" hidden="false" customHeight="false" outlineLevel="0" collapsed="false">
      <c r="A25" s="7" t="s">
        <v>401</v>
      </c>
      <c r="G25" s="27" t="n">
        <f aca="false">Supuestos!$C$52*(1-5*Supuestos!$C$55)</f>
        <v>90000</v>
      </c>
    </row>
    <row r="26" customFormat="false" ht="15" hidden="false" customHeight="false" outlineLevel="0" collapsed="false">
      <c r="A26" s="43" t="s">
        <v>402</v>
      </c>
      <c r="B26" s="44" t="n">
        <f aca="false">SUM(B19:B25)-B22</f>
        <v>-260000</v>
      </c>
      <c r="C26" s="44" t="n">
        <f aca="false">SUM(C19:C25)-C22</f>
        <v>10192.8415328142</v>
      </c>
      <c r="D26" s="44" t="n">
        <f aca="false">SUM(D19:D25)-D22</f>
        <v>58535.5671301019</v>
      </c>
      <c r="E26" s="44" t="n">
        <f aca="false">SUM(E19:E25)-E22</f>
        <v>96719.4103300233</v>
      </c>
      <c r="F26" s="44" t="n">
        <f aca="false">SUM(F19:F25)-F22</f>
        <v>150370.004496174</v>
      </c>
      <c r="G26" s="44" t="n">
        <f aca="false">SUM(G19:G25)-G22</f>
        <v>378102.205564393</v>
      </c>
    </row>
    <row r="27" customFormat="false" ht="15" hidden="false" customHeight="false" outlineLevel="0" collapsed="false">
      <c r="A27" s="7" t="s">
        <v>403</v>
      </c>
      <c r="B27" s="27" t="n">
        <f aca="false">B26</f>
        <v>-260000</v>
      </c>
      <c r="C27" s="27" t="n">
        <f aca="false">C26-C18</f>
        <v>2741.61919548111</v>
      </c>
      <c r="D27" s="27" t="n">
        <f aca="false">D26-D18</f>
        <v>71605.9279859601</v>
      </c>
      <c r="E27" s="27" t="n">
        <f aca="false">E26-E18</f>
        <v>133035.156748969</v>
      </c>
      <c r="F27" s="27" t="n">
        <f aca="false">F26-F18</f>
        <v>207755.875469808</v>
      </c>
      <c r="G27" s="27" t="n">
        <f aca="false">G26-G18</f>
        <v>460350.823512557</v>
      </c>
    </row>
    <row r="29" customFormat="false" ht="15" hidden="false" customHeight="false" outlineLevel="0" collapsed="false">
      <c r="A29" s="17" t="s">
        <v>404</v>
      </c>
      <c r="B29" s="18"/>
      <c r="C29" s="18"/>
      <c r="D29" s="18"/>
      <c r="E29" s="18"/>
      <c r="F29" s="18"/>
      <c r="G29" s="18"/>
    </row>
    <row r="30" customFormat="false" ht="15" hidden="false" customHeight="false" outlineLevel="0" collapsed="false">
      <c r="A30" s="7" t="s">
        <v>405</v>
      </c>
      <c r="C30" s="27" t="n">
        <f aca="false">Supuestos!$D$83*Supuestos!F$71</f>
        <v>200000</v>
      </c>
      <c r="D30" s="27" t="n">
        <f aca="false">Supuestos!$D$83*Supuestos!G$71</f>
        <v>300000</v>
      </c>
      <c r="E30" s="27" t="n">
        <f aca="false">Supuestos!$D$83*Supuestos!H$71</f>
        <v>400000</v>
      </c>
      <c r="F30" s="27" t="n">
        <f aca="false">Supuestos!$D$83*Supuestos!I$71</f>
        <v>400000</v>
      </c>
      <c r="G30" s="27" t="n">
        <f aca="false">Supuestos!$D$83*Supuestos!J$71</f>
        <v>400000</v>
      </c>
    </row>
    <row r="31" customFormat="false" ht="15" hidden="false" customHeight="false" outlineLevel="0" collapsed="false">
      <c r="A31" s="7" t="s">
        <v>406</v>
      </c>
      <c r="C31" s="27" t="n">
        <f aca="false">C30*Supuestos!$C$68</f>
        <v>124000</v>
      </c>
      <c r="D31" s="27" t="n">
        <f aca="false">D30*Supuestos!$C$68</f>
        <v>186000</v>
      </c>
      <c r="E31" s="27" t="n">
        <f aca="false">E30*Supuestos!$C$68</f>
        <v>248000</v>
      </c>
      <c r="F31" s="27" t="n">
        <f aca="false">F30*Supuestos!$C$68</f>
        <v>248000</v>
      </c>
      <c r="G31" s="27" t="n">
        <f aca="false">G30*Supuestos!$C$68</f>
        <v>248000</v>
      </c>
    </row>
    <row r="32" customFormat="false" ht="15" hidden="false" customHeight="false" outlineLevel="0" collapsed="false">
      <c r="A32" s="7" t="s">
        <v>407</v>
      </c>
      <c r="C32" s="27" t="n">
        <f aca="false">-Supuestos!$C$69</f>
        <v>-216000</v>
      </c>
      <c r="D32" s="27" t="n">
        <f aca="false">-Supuestos!$C$69</f>
        <v>-216000</v>
      </c>
      <c r="E32" s="27" t="n">
        <f aca="false">-Supuestos!$C$69</f>
        <v>-216000</v>
      </c>
      <c r="F32" s="27" t="n">
        <f aca="false">-Supuestos!$C$69</f>
        <v>-216000</v>
      </c>
      <c r="G32" s="27" t="n">
        <f aca="false">-Supuestos!$C$69</f>
        <v>-216000</v>
      </c>
    </row>
    <row r="33" customFormat="false" ht="15" hidden="false" customHeight="false" outlineLevel="0" collapsed="false">
      <c r="A33" s="7" t="s">
        <v>408</v>
      </c>
      <c r="C33" s="27" t="n">
        <f aca="false">-Supuestos!$C$62*Supuestos!$C$67</f>
        <v>-23000</v>
      </c>
      <c r="D33" s="27" t="n">
        <f aca="false">-Supuestos!$C$62*Supuestos!$C$67</f>
        <v>-23000</v>
      </c>
      <c r="E33" s="27" t="n">
        <f aca="false">-Supuestos!$C$62*Supuestos!$C$67</f>
        <v>-23000</v>
      </c>
      <c r="F33" s="27" t="n">
        <f aca="false">-Supuestos!$C$62*Supuestos!$C$67</f>
        <v>-23000</v>
      </c>
      <c r="G33" s="27" t="n">
        <f aca="false">-Supuestos!$C$62*Supuestos!$C$67</f>
        <v>-23000</v>
      </c>
    </row>
    <row r="34" customFormat="false" ht="15" hidden="false" customHeight="false" outlineLevel="0" collapsed="false">
      <c r="A34" s="7" t="s">
        <v>393</v>
      </c>
      <c r="C34" s="27" t="n">
        <f aca="false">SUM(C31:C33)</f>
        <v>-115000</v>
      </c>
      <c r="D34" s="27" t="n">
        <f aca="false">SUM(D31:D33)</f>
        <v>-53000</v>
      </c>
      <c r="E34" s="27" t="n">
        <f aca="false">SUM(E31:E33)</f>
        <v>9000</v>
      </c>
      <c r="F34" s="27" t="n">
        <f aca="false">SUM(F31:F33)</f>
        <v>9000</v>
      </c>
      <c r="G34" s="27" t="n">
        <f aca="false">SUM(G31:G33)</f>
        <v>9000</v>
      </c>
    </row>
    <row r="35" customFormat="false" ht="15" hidden="false" customHeight="false" outlineLevel="0" collapsed="false">
      <c r="A35" s="7" t="s">
        <v>394</v>
      </c>
      <c r="C35" s="27" t="n">
        <f aca="false">-C34*Supuestos!$C$7</f>
        <v>33925</v>
      </c>
      <c r="D35" s="27" t="n">
        <f aca="false">-D34*Supuestos!$C$7</f>
        <v>15635</v>
      </c>
      <c r="E35" s="27" t="n">
        <f aca="false">-E34*Supuestos!$C$7</f>
        <v>-2655</v>
      </c>
      <c r="F35" s="27" t="n">
        <f aca="false">-F34*Supuestos!$C$7</f>
        <v>-2655</v>
      </c>
      <c r="G35" s="27" t="n">
        <f aca="false">-G34*Supuestos!$C$7</f>
        <v>-2655</v>
      </c>
    </row>
    <row r="36" customFormat="false" ht="15" hidden="false" customHeight="false" outlineLevel="0" collapsed="false">
      <c r="A36" s="7" t="s">
        <v>395</v>
      </c>
      <c r="C36" s="27" t="n">
        <f aca="false">C34+C35</f>
        <v>-81075</v>
      </c>
      <c r="D36" s="27" t="n">
        <f aca="false">D34+D35</f>
        <v>-37365</v>
      </c>
      <c r="E36" s="27" t="n">
        <f aca="false">E34+E35</f>
        <v>6345</v>
      </c>
      <c r="F36" s="27" t="n">
        <f aca="false">F34+F35</f>
        <v>6345</v>
      </c>
      <c r="G36" s="27" t="n">
        <f aca="false">G34+G35</f>
        <v>6345</v>
      </c>
    </row>
    <row r="37" customFormat="false" ht="15" hidden="false" customHeight="false" outlineLevel="0" collapsed="false">
      <c r="A37" s="7" t="s">
        <v>396</v>
      </c>
      <c r="C37" s="27" t="n">
        <f aca="false">-C33</f>
        <v>23000</v>
      </c>
      <c r="D37" s="27" t="n">
        <f aca="false">-D33</f>
        <v>23000</v>
      </c>
      <c r="E37" s="27" t="n">
        <f aca="false">-E33</f>
        <v>23000</v>
      </c>
      <c r="F37" s="27" t="n">
        <f aca="false">-F33</f>
        <v>23000</v>
      </c>
      <c r="G37" s="27" t="n">
        <f aca="false">-G33</f>
        <v>23000</v>
      </c>
    </row>
    <row r="38" customFormat="false" ht="15" hidden="false" customHeight="false" outlineLevel="0" collapsed="false">
      <c r="A38" s="7" t="s">
        <v>409</v>
      </c>
      <c r="B38" s="27" t="n">
        <f aca="false">-Supuestos!$C$62</f>
        <v>-115000</v>
      </c>
    </row>
    <row r="39" customFormat="false" ht="15" hidden="false" customHeight="false" outlineLevel="0" collapsed="false">
      <c r="A39" s="7" t="s">
        <v>398</v>
      </c>
      <c r="B39" s="27" t="n">
        <f aca="false">Supuestos!$C$64</f>
        <v>15000</v>
      </c>
      <c r="C39" s="27" t="n">
        <f aca="false">MAX(Supuestos!$C$64,C30*Supuestos!$C$9)</f>
        <v>20000</v>
      </c>
      <c r="D39" s="27" t="n">
        <f aca="false">MAX(Supuestos!$C$64,D30*Supuestos!$C$9)</f>
        <v>30000</v>
      </c>
      <c r="E39" s="27" t="n">
        <f aca="false">MAX(Supuestos!$C$64,E30*Supuestos!$C$9)</f>
        <v>40000</v>
      </c>
      <c r="F39" s="27" t="n">
        <f aca="false">MAX(Supuestos!$C$64,F30*Supuestos!$C$9)</f>
        <v>40000</v>
      </c>
      <c r="G39" s="27" t="n">
        <f aca="false">MAX(Supuestos!$C$64,G30*Supuestos!$C$9)</f>
        <v>40000</v>
      </c>
    </row>
    <row r="40" customFormat="false" ht="15" hidden="false" customHeight="false" outlineLevel="0" collapsed="false">
      <c r="A40" s="7" t="s">
        <v>399</v>
      </c>
      <c r="B40" s="27" t="n">
        <f aca="false">-B39</f>
        <v>-15000</v>
      </c>
      <c r="C40" s="27" t="n">
        <f aca="false">-(C39-B39)</f>
        <v>-5000</v>
      </c>
      <c r="D40" s="27" t="n">
        <f aca="false">-(D39-C39)</f>
        <v>-10000</v>
      </c>
      <c r="E40" s="27" t="n">
        <f aca="false">-(E39-D39)</f>
        <v>-10000</v>
      </c>
      <c r="F40" s="27" t="n">
        <f aca="false">-(F39-E39)</f>
        <v>-0</v>
      </c>
      <c r="G40" s="27" t="n">
        <f aca="false">-(G39-F39)</f>
        <v>-0</v>
      </c>
    </row>
    <row r="41" customFormat="false" ht="15" hidden="false" customHeight="false" outlineLevel="0" collapsed="false">
      <c r="A41" s="7" t="s">
        <v>400</v>
      </c>
      <c r="G41" s="27" t="n">
        <f aca="false">G39</f>
        <v>40000</v>
      </c>
    </row>
    <row r="42" customFormat="false" ht="15" hidden="false" customHeight="false" outlineLevel="0" collapsed="false">
      <c r="A42" s="43" t="s">
        <v>410</v>
      </c>
      <c r="B42" s="44" t="n">
        <f aca="false">SUM(B36:B41)-B39</f>
        <v>-130000</v>
      </c>
      <c r="C42" s="44" t="n">
        <f aca="false">SUM(C36:C41)-C39</f>
        <v>-63075</v>
      </c>
      <c r="D42" s="44" t="n">
        <f aca="false">SUM(D36:D41)-D39</f>
        <v>-24365</v>
      </c>
      <c r="E42" s="44" t="n">
        <f aca="false">SUM(E36:E41)-E39</f>
        <v>19345</v>
      </c>
      <c r="F42" s="44" t="n">
        <f aca="false">SUM(F36:F41)-F39</f>
        <v>29345</v>
      </c>
      <c r="G42" s="44" t="n">
        <f aca="false">SUM(G36:G41)-G39</f>
        <v>69345</v>
      </c>
    </row>
    <row r="44" customFormat="false" ht="15" hidden="false" customHeight="false" outlineLevel="0" collapsed="false">
      <c r="A44" s="17" t="s">
        <v>411</v>
      </c>
      <c r="B44" s="18"/>
      <c r="C44" s="18"/>
      <c r="D44" s="18"/>
      <c r="E44" s="18"/>
      <c r="F44" s="18"/>
      <c r="G44" s="18"/>
    </row>
    <row r="45" customFormat="false" ht="15" hidden="false" customHeight="false" outlineLevel="0" collapsed="false">
      <c r="A45" s="7" t="s">
        <v>412</v>
      </c>
      <c r="C45" s="27" t="n">
        <f aca="false">Supuestos!$D$84*Supuestos!F$71</f>
        <v>140000</v>
      </c>
      <c r="D45" s="27" t="n">
        <f aca="false">Supuestos!$D$84*Supuestos!G$71</f>
        <v>210000</v>
      </c>
      <c r="E45" s="27" t="n">
        <f aca="false">Supuestos!$D$84*Supuestos!H$71</f>
        <v>280000</v>
      </c>
      <c r="F45" s="27" t="n">
        <f aca="false">Supuestos!$D$84*Supuestos!I$71</f>
        <v>280000</v>
      </c>
      <c r="G45" s="27" t="n">
        <f aca="false">Supuestos!$D$84*Supuestos!J$71</f>
        <v>280000</v>
      </c>
    </row>
    <row r="46" customFormat="false" ht="15" hidden="false" customHeight="false" outlineLevel="0" collapsed="false">
      <c r="A46" s="7" t="s">
        <v>406</v>
      </c>
      <c r="C46" s="27" t="n">
        <f aca="false">C45*Supuestos!$C$68</f>
        <v>86800</v>
      </c>
      <c r="D46" s="27" t="n">
        <f aca="false">D45*Supuestos!$C$68</f>
        <v>130200</v>
      </c>
      <c r="E46" s="27" t="n">
        <f aca="false">E45*Supuestos!$C$68</f>
        <v>173600</v>
      </c>
      <c r="F46" s="27" t="n">
        <f aca="false">F45*Supuestos!$C$68</f>
        <v>173600</v>
      </c>
      <c r="G46" s="27" t="n">
        <f aca="false">G45*Supuestos!$C$68</f>
        <v>173600</v>
      </c>
    </row>
    <row r="47" customFormat="false" ht="15" hidden="false" customHeight="false" outlineLevel="0" collapsed="false">
      <c r="A47" s="7" t="s">
        <v>407</v>
      </c>
      <c r="C47" s="27" t="n">
        <f aca="false">-Supuestos!$C$70</f>
        <v>-132000</v>
      </c>
      <c r="D47" s="27" t="n">
        <f aca="false">-Supuestos!$C$70</f>
        <v>-132000</v>
      </c>
      <c r="E47" s="27" t="n">
        <f aca="false">-Supuestos!$C$70</f>
        <v>-132000</v>
      </c>
      <c r="F47" s="27" t="n">
        <f aca="false">-Supuestos!$C$70</f>
        <v>-132000</v>
      </c>
      <c r="G47" s="27" t="n">
        <f aca="false">-Supuestos!$C$70</f>
        <v>-132000</v>
      </c>
    </row>
    <row r="48" customFormat="false" ht="15" hidden="false" customHeight="false" outlineLevel="0" collapsed="false">
      <c r="A48" s="7" t="s">
        <v>408</v>
      </c>
      <c r="C48" s="27" t="n">
        <f aca="false">-Supuestos!$C$63*Supuestos!$C$67</f>
        <v>-16000</v>
      </c>
      <c r="D48" s="27" t="n">
        <f aca="false">-Supuestos!$C$63*Supuestos!$C$67</f>
        <v>-16000</v>
      </c>
      <c r="E48" s="27" t="n">
        <f aca="false">-Supuestos!$C$63*Supuestos!$C$67</f>
        <v>-16000</v>
      </c>
      <c r="F48" s="27" t="n">
        <f aca="false">-Supuestos!$C$63*Supuestos!$C$67</f>
        <v>-16000</v>
      </c>
      <c r="G48" s="27" t="n">
        <f aca="false">-Supuestos!$C$63*Supuestos!$C$67</f>
        <v>-16000</v>
      </c>
    </row>
    <row r="49" customFormat="false" ht="15" hidden="false" customHeight="false" outlineLevel="0" collapsed="false">
      <c r="A49" s="7" t="s">
        <v>393</v>
      </c>
      <c r="C49" s="27" t="n">
        <f aca="false">SUM(C46:C48)</f>
        <v>-61200</v>
      </c>
      <c r="D49" s="27" t="n">
        <f aca="false">SUM(D46:D48)</f>
        <v>-17800</v>
      </c>
      <c r="E49" s="27" t="n">
        <f aca="false">SUM(E46:E48)</f>
        <v>25600</v>
      </c>
      <c r="F49" s="27" t="n">
        <f aca="false">SUM(F46:F48)</f>
        <v>25600</v>
      </c>
      <c r="G49" s="27" t="n">
        <f aca="false">SUM(G46:G48)</f>
        <v>25600</v>
      </c>
    </row>
    <row r="50" customFormat="false" ht="15" hidden="false" customHeight="false" outlineLevel="0" collapsed="false">
      <c r="A50" s="7" t="s">
        <v>394</v>
      </c>
      <c r="C50" s="27" t="n">
        <f aca="false">-C49*Supuestos!$C$7</f>
        <v>18054</v>
      </c>
      <c r="D50" s="27" t="n">
        <f aca="false">-D49*Supuestos!$C$7</f>
        <v>5251</v>
      </c>
      <c r="E50" s="27" t="n">
        <f aca="false">-E49*Supuestos!$C$7</f>
        <v>-7552</v>
      </c>
      <c r="F50" s="27" t="n">
        <f aca="false">-F49*Supuestos!$C$7</f>
        <v>-7552</v>
      </c>
      <c r="G50" s="27" t="n">
        <f aca="false">-G49*Supuestos!$C$7</f>
        <v>-7552</v>
      </c>
    </row>
    <row r="51" customFormat="false" ht="15" hidden="false" customHeight="false" outlineLevel="0" collapsed="false">
      <c r="A51" s="7" t="s">
        <v>395</v>
      </c>
      <c r="C51" s="27" t="n">
        <f aca="false">C49+C50</f>
        <v>-43146</v>
      </c>
      <c r="D51" s="27" t="n">
        <f aca="false">D49+D50</f>
        <v>-12549</v>
      </c>
      <c r="E51" s="27" t="n">
        <f aca="false">E49+E50</f>
        <v>18048</v>
      </c>
      <c r="F51" s="27" t="n">
        <f aca="false">F49+F50</f>
        <v>18048</v>
      </c>
      <c r="G51" s="27" t="n">
        <f aca="false">G49+G50</f>
        <v>18048</v>
      </c>
    </row>
    <row r="52" customFormat="false" ht="15" hidden="false" customHeight="false" outlineLevel="0" collapsed="false">
      <c r="A52" s="7" t="s">
        <v>396</v>
      </c>
      <c r="C52" s="27" t="n">
        <f aca="false">-C48</f>
        <v>16000</v>
      </c>
      <c r="D52" s="27" t="n">
        <f aca="false">-D48</f>
        <v>16000</v>
      </c>
      <c r="E52" s="27" t="n">
        <f aca="false">-E48</f>
        <v>16000</v>
      </c>
      <c r="F52" s="27" t="n">
        <f aca="false">-F48</f>
        <v>16000</v>
      </c>
      <c r="G52" s="27" t="n">
        <f aca="false">-G48</f>
        <v>16000</v>
      </c>
    </row>
    <row r="53" customFormat="false" ht="15" hidden="false" customHeight="false" outlineLevel="0" collapsed="false">
      <c r="A53" s="7" t="s">
        <v>409</v>
      </c>
      <c r="B53" s="27" t="n">
        <f aca="false">-Supuestos!$C$63</f>
        <v>-80000</v>
      </c>
    </row>
    <row r="54" customFormat="false" ht="15" hidden="false" customHeight="false" outlineLevel="0" collapsed="false">
      <c r="A54" s="7" t="s">
        <v>398</v>
      </c>
      <c r="B54" s="27" t="n">
        <f aca="false">Supuestos!$C$65</f>
        <v>10000</v>
      </c>
      <c r="C54" s="27" t="n">
        <f aca="false">MAX(Supuestos!$C$65,C45*Supuestos!$C$9)</f>
        <v>14000</v>
      </c>
      <c r="D54" s="27" t="n">
        <f aca="false">MAX(Supuestos!$C$65,D45*Supuestos!$C$9)</f>
        <v>21000</v>
      </c>
      <c r="E54" s="27" t="n">
        <f aca="false">MAX(Supuestos!$C$65,E45*Supuestos!$C$9)</f>
        <v>28000</v>
      </c>
      <c r="F54" s="27" t="n">
        <f aca="false">MAX(Supuestos!$C$65,F45*Supuestos!$C$9)</f>
        <v>28000</v>
      </c>
      <c r="G54" s="27" t="n">
        <f aca="false">MAX(Supuestos!$C$65,G45*Supuestos!$C$9)</f>
        <v>28000</v>
      </c>
    </row>
    <row r="55" customFormat="false" ht="15" hidden="false" customHeight="false" outlineLevel="0" collapsed="false">
      <c r="A55" s="7" t="s">
        <v>399</v>
      </c>
      <c r="B55" s="27" t="n">
        <f aca="false">-B54</f>
        <v>-10000</v>
      </c>
      <c r="C55" s="27" t="n">
        <f aca="false">-(C54-B54)</f>
        <v>-4000</v>
      </c>
      <c r="D55" s="27" t="n">
        <f aca="false">-(D54-C54)</f>
        <v>-7000</v>
      </c>
      <c r="E55" s="27" t="n">
        <f aca="false">-(E54-D54)</f>
        <v>-7000</v>
      </c>
      <c r="F55" s="27" t="n">
        <f aca="false">-(F54-E54)</f>
        <v>-0</v>
      </c>
      <c r="G55" s="27" t="n">
        <f aca="false">-(G54-F54)</f>
        <v>-0</v>
      </c>
    </row>
    <row r="56" customFormat="false" ht="15" hidden="false" customHeight="false" outlineLevel="0" collapsed="false">
      <c r="A56" s="7" t="s">
        <v>400</v>
      </c>
      <c r="G56" s="27" t="n">
        <f aca="false">G54</f>
        <v>28000</v>
      </c>
    </row>
    <row r="57" customFormat="false" ht="15" hidden="false" customHeight="false" outlineLevel="0" collapsed="false">
      <c r="A57" s="43" t="s">
        <v>413</v>
      </c>
      <c r="B57" s="44" t="n">
        <f aca="false">SUM(B51:B56)-B54</f>
        <v>-90000</v>
      </c>
      <c r="C57" s="44" t="n">
        <f aca="false">SUM(C51:C56)-C54</f>
        <v>-31146</v>
      </c>
      <c r="D57" s="44" t="n">
        <f aca="false">SUM(D51:D56)-D54</f>
        <v>-3549</v>
      </c>
      <c r="E57" s="44" t="n">
        <f aca="false">SUM(E51:E56)-E54</f>
        <v>27048</v>
      </c>
      <c r="F57" s="44" t="n">
        <f aca="false">SUM(F51:F56)-F54</f>
        <v>34048</v>
      </c>
      <c r="G57" s="44" t="n">
        <f aca="false">SUM(G51:G56)-G54</f>
        <v>62048</v>
      </c>
    </row>
    <row r="59" customFormat="false" ht="15" hidden="false" customHeight="false" outlineLevel="0" collapsed="false">
      <c r="A59" s="17" t="s">
        <v>414</v>
      </c>
      <c r="B59" s="18"/>
      <c r="C59" s="18"/>
      <c r="D59" s="18"/>
      <c r="E59" s="18"/>
      <c r="F59" s="18"/>
      <c r="G59" s="18"/>
    </row>
    <row r="60" customFormat="false" ht="15" hidden="false" customHeight="false" outlineLevel="0" collapsed="false">
      <c r="A60" s="4" t="s">
        <v>415</v>
      </c>
      <c r="B60" s="6" t="n">
        <f aca="false">B42+B57</f>
        <v>-220000</v>
      </c>
      <c r="C60" s="6" t="n">
        <f aca="false">C42+C57</f>
        <v>-94221</v>
      </c>
      <c r="D60" s="6" t="n">
        <f aca="false">D42+D57</f>
        <v>-27914</v>
      </c>
      <c r="E60" s="6" t="n">
        <f aca="false">E42+E57</f>
        <v>46393</v>
      </c>
      <c r="F60" s="6" t="n">
        <f aca="false">F42+F57</f>
        <v>63393</v>
      </c>
      <c r="G60" s="6" t="n">
        <f aca="false">G42+G57</f>
        <v>131393</v>
      </c>
    </row>
    <row r="61" customFormat="false" ht="15" hidden="false" customHeight="false" outlineLevel="0" collapsed="false">
      <c r="A61" s="43" t="s">
        <v>416</v>
      </c>
      <c r="B61" s="44" t="n">
        <f aca="false">B26+B60</f>
        <v>-480000</v>
      </c>
      <c r="C61" s="44" t="n">
        <f aca="false">C26+C60</f>
        <v>-84028.1584671858</v>
      </c>
      <c r="D61" s="44" t="n">
        <f aca="false">D26+D60</f>
        <v>30621.5671301019</v>
      </c>
      <c r="E61" s="44" t="n">
        <f aca="false">E26+E60</f>
        <v>143112.410330023</v>
      </c>
      <c r="F61" s="44" t="n">
        <f aca="false">F26+F60</f>
        <v>213763.004496174</v>
      </c>
      <c r="G61" s="44" t="n">
        <f aca="false">G26+G60</f>
        <v>509495.205564393</v>
      </c>
    </row>
    <row r="62" customFormat="false" ht="15" hidden="false" customHeight="false" outlineLevel="0" collapsed="false">
      <c r="A62" s="7" t="s">
        <v>417</v>
      </c>
      <c r="B62" s="27" t="n">
        <f aca="false">B61</f>
        <v>-480000</v>
      </c>
      <c r="C62" s="27" t="n">
        <f aca="false">C61-C18-C35-C50</f>
        <v>-143458.380804519</v>
      </c>
      <c r="D62" s="27" t="n">
        <f aca="false">D61-D18-D35-D50</f>
        <v>22805.9279859601</v>
      </c>
      <c r="E62" s="27" t="n">
        <f aca="false">E61-E18-E35-E50</f>
        <v>189635.156748969</v>
      </c>
      <c r="F62" s="27" t="n">
        <f aca="false">F61-F18-F35-F50</f>
        <v>281355.875469808</v>
      </c>
      <c r="G62" s="27" t="n">
        <f aca="false">G61-G18-G35-G50</f>
        <v>601950.823512557</v>
      </c>
    </row>
    <row r="64" customFormat="false" ht="15" hidden="false" customHeight="false" outlineLevel="0" collapsed="false">
      <c r="A64" s="17" t="s">
        <v>418</v>
      </c>
      <c r="B64" s="18"/>
      <c r="C64" s="18"/>
      <c r="D64" s="18"/>
      <c r="E64" s="18"/>
      <c r="F64" s="18"/>
      <c r="G64" s="18"/>
    </row>
    <row r="65" customFormat="false" ht="15" hidden="false" customHeight="false" outlineLevel="0" collapsed="false">
      <c r="A65" s="7" t="s">
        <v>419</v>
      </c>
      <c r="B65" s="35" t="n">
        <f aca="false">1/(1+Supuestos!$C$8)^B5</f>
        <v>1</v>
      </c>
      <c r="C65" s="35" t="n">
        <f aca="false">1/(1+Supuestos!$C$8)^C5</f>
        <v>0.980392156862745</v>
      </c>
      <c r="D65" s="35" t="n">
        <f aca="false">1/(1+Supuestos!$C$8)^D5</f>
        <v>0.961168781237985</v>
      </c>
      <c r="E65" s="35" t="n">
        <f aca="false">1/(1+Supuestos!$C$8)^E5</f>
        <v>0.942322334547044</v>
      </c>
      <c r="F65" s="35" t="n">
        <f aca="false">1/(1+Supuestos!$C$8)^F5</f>
        <v>0.923845426026514</v>
      </c>
      <c r="G65" s="35" t="n">
        <f aca="false">1/(1+Supuestos!$C$8)^G5</f>
        <v>0.905730809829916</v>
      </c>
    </row>
    <row r="66" customFormat="false" ht="15" hidden="false" customHeight="false" outlineLevel="0" collapsed="false">
      <c r="A66" s="7" t="s">
        <v>420</v>
      </c>
      <c r="B66" s="5" t="n">
        <f aca="false">Supuestos!$C$74</f>
        <v>480000</v>
      </c>
    </row>
    <row r="67" customFormat="false" ht="15" hidden="false" customHeight="false" outlineLevel="0" collapsed="false">
      <c r="A67" s="7" t="s">
        <v>421</v>
      </c>
      <c r="C67" s="5" t="n">
        <f aca="false">-Prestamo!F44</f>
        <v>-195793.77939037</v>
      </c>
      <c r="D67" s="5" t="n">
        <f aca="false">-Prestamo!F45</f>
        <v>-195793.77939037</v>
      </c>
      <c r="E67" s="5" t="n">
        <f aca="false">-Prestamo!F46</f>
        <v>-195793.77939037</v>
      </c>
      <c r="F67" s="5" t="n">
        <f aca="false">-Prestamo!F47</f>
        <v>-0</v>
      </c>
      <c r="G67" s="5" t="n">
        <f aca="false">-Prestamo!F48</f>
        <v>-0</v>
      </c>
    </row>
    <row r="68" customFormat="false" ht="15" hidden="false" customHeight="false" outlineLevel="0" collapsed="false">
      <c r="A68" s="7" t="s">
        <v>422</v>
      </c>
      <c r="C68" s="27" t="n">
        <f aca="false">Prestamo!D44*Supuestos!$C$7</f>
        <v>16787.2390805023</v>
      </c>
      <c r="D68" s="27" t="n">
        <f aca="false">Prestamo!D45*Supuestos!$C$7</f>
        <v>10846.3098337521</v>
      </c>
      <c r="E68" s="27" t="n">
        <f aca="false">Prestamo!D46*Supuestos!$C$7</f>
        <v>4043.94584622305</v>
      </c>
      <c r="F68" s="27" t="n">
        <f aca="false">Prestamo!D47*Supuestos!$C$7</f>
        <v>0</v>
      </c>
      <c r="G68" s="27" t="n">
        <f aca="false">Prestamo!D48*Supuestos!$C$7</f>
        <v>0</v>
      </c>
    </row>
    <row r="69" customFormat="false" ht="15" hidden="false" customHeight="false" outlineLevel="0" collapsed="false">
      <c r="A69" s="7" t="s">
        <v>423</v>
      </c>
      <c r="C69" s="27" t="n">
        <f aca="false">(C67+C68)*C65</f>
        <v>-175496.608146929</v>
      </c>
      <c r="D69" s="27" t="n">
        <f aca="false">(D67+D68)*D65</f>
        <v>-177765.733906784</v>
      </c>
      <c r="E69" s="27" t="n">
        <f aca="false">(E67+E68)*E65</f>
        <v>-180690.150794328</v>
      </c>
      <c r="F69" s="27" t="n">
        <f aca="false">(F67+F68)*F65</f>
        <v>0</v>
      </c>
      <c r="G69" s="27" t="n">
        <f aca="false">(G67+G68)*G65</f>
        <v>0</v>
      </c>
    </row>
    <row r="70" customFormat="false" ht="15" hidden="false" customHeight="false" outlineLevel="0" collapsed="false">
      <c r="A70" s="43" t="s">
        <v>424</v>
      </c>
      <c r="B70" s="44" t="n">
        <f aca="false">B61+B66</f>
        <v>0</v>
      </c>
      <c r="C70" s="44" t="n">
        <f aca="false">C61+C69</f>
        <v>-259524.766614115</v>
      </c>
      <c r="D70" s="44" t="n">
        <f aca="false">D61+D69</f>
        <v>-147144.166776682</v>
      </c>
      <c r="E70" s="44" t="n">
        <f aca="false">E61+E69</f>
        <v>-37577.7404643044</v>
      </c>
      <c r="F70" s="44" t="n">
        <f aca="false">F61+F69</f>
        <v>213763.004496174</v>
      </c>
      <c r="G70" s="44" t="n">
        <f aca="false">G61+G69</f>
        <v>509495.205564393</v>
      </c>
    </row>
    <row r="72" customFormat="false" ht="15" hidden="false" customHeight="false" outlineLevel="0" collapsed="false">
      <c r="A72" s="7" t="s">
        <v>425</v>
      </c>
      <c r="B72" s="5" t="n">
        <f aca="false">Supuestos!$C$75</f>
        <v>260000</v>
      </c>
    </row>
    <row r="73" customFormat="false" ht="15" hidden="false" customHeight="false" outlineLevel="0" collapsed="false">
      <c r="A73" s="7" t="s">
        <v>421</v>
      </c>
      <c r="C73" s="5" t="n">
        <f aca="false">-Prestamo!L44</f>
        <v>-106054.96383645</v>
      </c>
      <c r="D73" s="5" t="n">
        <f aca="false">-Prestamo!L45</f>
        <v>-106054.96383645</v>
      </c>
      <c r="E73" s="5" t="n">
        <f aca="false">-Prestamo!L46</f>
        <v>-106054.96383645</v>
      </c>
      <c r="F73" s="5" t="n">
        <f aca="false">-Prestamo!L47</f>
        <v>-0</v>
      </c>
      <c r="G73" s="5" t="n">
        <f aca="false">-Prestamo!L48</f>
        <v>-0</v>
      </c>
    </row>
    <row r="74" customFormat="false" ht="15" hidden="false" customHeight="false" outlineLevel="0" collapsed="false">
      <c r="A74" s="7" t="s">
        <v>422</v>
      </c>
      <c r="C74" s="27" t="n">
        <f aca="false">Prestamo!J44*Supuestos!$C$7</f>
        <v>9093.08783527208</v>
      </c>
      <c r="D74" s="27" t="n">
        <f aca="false">Prestamo!J45*Supuestos!$C$7</f>
        <v>5875.08449328237</v>
      </c>
      <c r="E74" s="27" t="n">
        <f aca="false">Prestamo!J46*Supuestos!$C$7</f>
        <v>2190.47066670415</v>
      </c>
      <c r="F74" s="27" t="n">
        <f aca="false">Prestamo!J47*Supuestos!$C$7</f>
        <v>0</v>
      </c>
      <c r="G74" s="27" t="n">
        <f aca="false">Prestamo!J48*Supuestos!$C$7</f>
        <v>0</v>
      </c>
    </row>
    <row r="75" customFormat="false" ht="15" hidden="false" customHeight="false" outlineLevel="0" collapsed="false">
      <c r="A75" s="7" t="s">
        <v>423</v>
      </c>
      <c r="C75" s="27" t="n">
        <f aca="false">(C73+C74)*C65</f>
        <v>-95060.6627462533</v>
      </c>
      <c r="D75" s="27" t="n">
        <f aca="false">(D73+D74)*D65</f>
        <v>-96289.7725328413</v>
      </c>
      <c r="E75" s="27" t="n">
        <f aca="false">(E73+E74)*E65</f>
        <v>-97873.8316802608</v>
      </c>
      <c r="F75" s="27" t="n">
        <f aca="false">(F73+F74)*F65</f>
        <v>0</v>
      </c>
      <c r="G75" s="27" t="n">
        <f aca="false">(G73+G74)*G65</f>
        <v>0</v>
      </c>
    </row>
    <row r="76" customFormat="false" ht="15" hidden="false" customHeight="false" outlineLevel="0" collapsed="false">
      <c r="A76" s="43" t="s">
        <v>426</v>
      </c>
      <c r="B76" s="44" t="n">
        <f aca="false">B26+B72</f>
        <v>0</v>
      </c>
      <c r="C76" s="44" t="n">
        <f aca="false">C26+C75</f>
        <v>-84867.8212134391</v>
      </c>
      <c r="D76" s="44" t="n">
        <f aca="false">D26+D75</f>
        <v>-37754.2054027394</v>
      </c>
      <c r="E76" s="44" t="n">
        <f aca="false">E26+E75</f>
        <v>-1154.42135023754</v>
      </c>
      <c r="F76" s="44" t="n">
        <f aca="false">F26+F75</f>
        <v>150370.004496174</v>
      </c>
      <c r="G76" s="44" t="n">
        <f aca="false">G26+G75</f>
        <v>378102.205564393</v>
      </c>
    </row>
    <row r="78" customFormat="false" ht="15" hidden="false" customHeight="false" outlineLevel="0" collapsed="false">
      <c r="A78" s="17" t="s">
        <v>427</v>
      </c>
      <c r="B78" s="18"/>
      <c r="C78" s="18"/>
      <c r="D78" s="18"/>
      <c r="E78" s="18"/>
      <c r="F78" s="18"/>
      <c r="G78" s="18"/>
    </row>
    <row r="79" customFormat="false" ht="39.55" hidden="false" customHeight="false" outlineLevel="0" collapsed="false">
      <c r="A79" s="3" t="s">
        <v>428</v>
      </c>
      <c r="B79" s="3" t="s">
        <v>429</v>
      </c>
      <c r="C79" s="3" t="s">
        <v>430</v>
      </c>
      <c r="D79" s="3" t="s">
        <v>431</v>
      </c>
      <c r="E79" s="3" t="s">
        <v>432</v>
      </c>
      <c r="F79" s="3" t="s">
        <v>433</v>
      </c>
      <c r="G79" s="3" t="s">
        <v>434</v>
      </c>
    </row>
    <row r="80" customFormat="false" ht="15" hidden="false" customHeight="false" outlineLevel="0" collapsed="false">
      <c r="A80" s="7" t="s">
        <v>376</v>
      </c>
      <c r="B80" s="6" t="n">
        <f aca="false">SUMPRODUCT($B$26:$G$26,$B$6:$G$6)</f>
        <v>117319.82275982</v>
      </c>
      <c r="C80" s="27" t="n">
        <f aca="false">B80*Factores!$C$14</f>
        <v>35830.5745205949</v>
      </c>
      <c r="D80" s="27" t="n">
        <f aca="false">SUMPRODUCT(($B$26:$G$26&gt;0)*$B$26:$G$26,$B$6:$G$6)</f>
        <v>377319.82275982</v>
      </c>
      <c r="E80" s="27" t="n">
        <f aca="false">SUMPRODUCT(($B$26:$G$26&lt;0)*(-$B$26:$G$26),$B$6:$G$6)</f>
        <v>260000</v>
      </c>
      <c r="F80" s="45" t="n">
        <f aca="false">IF(E80=0,"n.a.",D80/E80)</f>
        <v>1.45123008753777</v>
      </c>
      <c r="G80" s="46" t="n">
        <f aca="false">IF(COUNT(AM5:AQ5)=0,"No recupera en 5 años",MIN(AM5:AQ5))</f>
        <v>4.34829337840841</v>
      </c>
    </row>
    <row r="81" customFormat="false" ht="15" hidden="false" customHeight="false" outlineLevel="0" collapsed="false">
      <c r="A81" s="7" t="s">
        <v>8</v>
      </c>
      <c r="B81" s="6" t="n">
        <f aca="false">SUMPRODUCT($B$42:$G$42,$B$6:$G$6)</f>
        <v>-140865.602074511</v>
      </c>
      <c r="C81" s="27" t="n">
        <f aca="false">B81*Factores!$C$14</f>
        <v>-43021.6764208056</v>
      </c>
      <c r="D81" s="27" t="n">
        <f aca="false">SUMPRODUCT(($B$42:$G$42&gt;0)*$B$42:$G$42,$B$6:$G$6)</f>
        <v>61616.5620158578</v>
      </c>
      <c r="E81" s="27" t="n">
        <f aca="false">SUMPRODUCT(($B$42:$G$42&lt;0)*(-$B$42:$G$42),$B$6:$G$6)</f>
        <v>202482.164090369</v>
      </c>
      <c r="F81" s="45" t="n">
        <f aca="false">IF(E81=0,"n.a.",D81/E81)</f>
        <v>0.304306121443655</v>
      </c>
      <c r="G81" s="46" t="str">
        <f aca="false">IF(COUNT(AM6:AQ6)=0,"No recupera en 5 años",MIN(AM6:AQ6))</f>
        <v>No recupera en 5 años</v>
      </c>
    </row>
    <row r="82" customFormat="false" ht="15" hidden="false" customHeight="false" outlineLevel="0" collapsed="false">
      <c r="A82" s="7" t="s">
        <v>9</v>
      </c>
      <c r="B82" s="6" t="n">
        <f aca="false">SUMPRODUCT($B$57:$G$57,$B$6:$G$6)</f>
        <v>-53812.7087017407</v>
      </c>
      <c r="C82" s="27" t="n">
        <f aca="false">B82*Factores!$C$14</f>
        <v>-16434.9060877813</v>
      </c>
      <c r="D82" s="27" t="n">
        <f aca="false">SUMPRODUCT(($B$57:$G$57&gt;0)*$B$57:$G$57,$B$6:$G$6)</f>
        <v>65674.7764350013</v>
      </c>
      <c r="E82" s="27" t="n">
        <f aca="false">SUMPRODUCT(($B$57:$G$57&lt;0)*(-$B$57:$G$57),$B$6:$G$6)</f>
        <v>119487.485136742</v>
      </c>
      <c r="F82" s="45" t="n">
        <f aca="false">IF(E82=0,"n.a.",D82/E82)</f>
        <v>0.549637280923963</v>
      </c>
      <c r="G82" s="46" t="str">
        <f aca="false">IF(COUNT(AM7:AQ7)=0,"No recupera en 5 años",MIN(AM7:AQ7))</f>
        <v>No recupera en 5 años</v>
      </c>
    </row>
    <row r="83" customFormat="false" ht="15" hidden="false" customHeight="false" outlineLevel="0" collapsed="false">
      <c r="A83" s="7" t="s">
        <v>10</v>
      </c>
      <c r="B83" s="6" t="n">
        <f aca="false">SUMPRODUCT($B$60:$G$60,$B$6:$G$6)</f>
        <v>-194678.310776251</v>
      </c>
      <c r="C83" s="27" t="n">
        <f aca="false">B83*Factores!$C$14</f>
        <v>-59456.5825085868</v>
      </c>
      <c r="D83" s="27" t="n">
        <f aca="false">SUMPRODUCT(($B$60:$G$60&gt;0)*$B$60:$G$60,$B$6:$G$6)</f>
        <v>127291.338450859</v>
      </c>
      <c r="E83" s="27" t="n">
        <f aca="false">SUMPRODUCT(($B$60:$G$60&lt;0)*(-$B$60:$G$60),$B$6:$G$6)</f>
        <v>321969.649227111</v>
      </c>
      <c r="F83" s="45" t="n">
        <f aca="false">IF(E83=0,"n.a.",D83/E83)</f>
        <v>0.395351980400707</v>
      </c>
      <c r="G83" s="46" t="str">
        <f aca="false">IF(COUNT(AM8:AQ8)=0,"No recupera en 5 años",MIN(AM8:AQ8))</f>
        <v>No recupera en 5 años</v>
      </c>
    </row>
    <row r="84" customFormat="false" ht="15" hidden="false" customHeight="false" outlineLevel="0" collapsed="false">
      <c r="A84" s="7" t="s">
        <v>381</v>
      </c>
      <c r="B84" s="6" t="n">
        <f aca="false">SUMPRODUCT($B$61:$G$61,$B$6:$G$6)</f>
        <v>-77358.4880164316</v>
      </c>
      <c r="C84" s="27" t="n">
        <f aca="false">B84*Factores!$C$14</f>
        <v>-23626.0079879919</v>
      </c>
      <c r="D84" s="27" t="n">
        <f aca="false">SUMPRODUCT(($B$61:$G$61&gt;0)*$B$61:$G$61,$B$6:$G$6)</f>
        <v>475079.579627694</v>
      </c>
      <c r="E84" s="27" t="n">
        <f aca="false">SUMPRODUCT(($B$61:$G$61&lt;0)*(-$B$61:$G$61),$B$6:$G$6)</f>
        <v>552438.067644126</v>
      </c>
      <c r="F84" s="45" t="n">
        <f aca="false">IF(E84=0,"n.a.",D84/E84)</f>
        <v>0.859968940326058</v>
      </c>
      <c r="G84" s="46" t="str">
        <f aca="false">IF(COUNT(AM9:AQ9)=0,"No recupera en 5 años",MIN(AM9:AQ9))</f>
        <v>No recupera en 5 años</v>
      </c>
    </row>
    <row r="85" customFormat="false" ht="15" hidden="false" customHeight="false" outlineLevel="0" collapsed="false">
      <c r="A85" s="7" t="s">
        <v>383</v>
      </c>
      <c r="B85" s="6" t="n">
        <f aca="false">SUMPRODUCT($B$70:$G$70,$B$6:$G$6)</f>
        <v>3481.90234352532</v>
      </c>
      <c r="C85" s="27" t="n">
        <f aca="false">B85*Factores!$C$14</f>
        <v>1063.40564158989</v>
      </c>
      <c r="D85" s="27" t="n">
        <f aca="false">SUMPRODUCT(($B$70:$G$70&gt;0)*$B$70:$G$70,$B$6:$G$6)</f>
        <v>360636.703099763</v>
      </c>
      <c r="E85" s="27" t="n">
        <f aca="false">SUMPRODUCT(($B$70:$G$70&lt;0)*(-$B$70:$G$70),$B$6:$G$6)</f>
        <v>357154.800756238</v>
      </c>
      <c r="F85" s="45" t="n">
        <f aca="false">IF(E85=0,"n.a.",D85/E85)</f>
        <v>1.00974900053465</v>
      </c>
      <c r="G85" s="46" t="n">
        <f aca="false">IF(COUNT(AM10:AQ10)=0,"No recupera en 5 años",MIN(AM10:AQ10))</f>
        <v>4.9856462151951</v>
      </c>
    </row>
    <row r="86" customFormat="false" ht="15" hidden="false" customHeight="false" outlineLevel="0" collapsed="false">
      <c r="A86" s="7" t="s">
        <v>385</v>
      </c>
      <c r="B86" s="6" t="n">
        <f aca="false">SUMPRODUCT($B$76:$G$76,$B$6:$G$6)</f>
        <v>161108.36753813</v>
      </c>
      <c r="C86" s="27" t="n">
        <f aca="false">B86*Factores!$C$14</f>
        <v>49204.0069032851</v>
      </c>
      <c r="D86" s="27" t="n">
        <f aca="false">SUMPRODUCT(($B$76:$G$76&gt;0)*$B$76:$G$76,$B$6:$G$6)</f>
        <v>263067.396097508</v>
      </c>
      <c r="E86" s="27" t="n">
        <f aca="false">SUMPRODUCT(($B$76:$G$76&lt;0)*(-$B$76:$G$76),$B$6:$G$6)</f>
        <v>101959.028559378</v>
      </c>
      <c r="F86" s="45" t="n">
        <f aca="false">IF(E86=0,"n.a.",D86/E86)</f>
        <v>2.58012850666094</v>
      </c>
      <c r="G86" s="46" t="n">
        <f aca="false">IF(COUNT(AM11:AQ11)=0,"No recupera en 5 años",MIN(AM11:AQ11))</f>
        <v>4.10504987606946</v>
      </c>
    </row>
    <row r="87" customFormat="false" ht="15" hidden="false" customHeight="false" outlineLevel="0" collapsed="false">
      <c r="A87" s="7" t="s">
        <v>387</v>
      </c>
      <c r="B87" s="6" t="n">
        <f aca="false">SUMPRODUCT($B$27:$G$27,$B$7:$G$7)</f>
        <v>119058.956556637</v>
      </c>
      <c r="C87" s="27" t="n">
        <f aca="false">B87*(Tasas!$C$13*(1+Tasas!$C$13)^5)/((1+Tasas!$C$13)^5-1)</f>
        <v>42195.5925302013</v>
      </c>
      <c r="D87" s="27" t="n">
        <f aca="false">SUMPRODUCT(($B$27:$G$27&gt;0)*$B$27:$G$27,$B$7:$G$7)</f>
        <v>379058.956556637</v>
      </c>
      <c r="E87" s="27" t="n">
        <f aca="false">SUMPRODUCT(($B$27:$G$27&lt;0)*(-$B$27:$G$27),$B$7:$G$7)</f>
        <v>260000</v>
      </c>
      <c r="F87" s="45" t="n">
        <f aca="false">IF(E87=0,"n.a.",D87/E87)</f>
        <v>1.45791906367937</v>
      </c>
      <c r="G87" s="46" t="n">
        <f aca="false">IF(COUNT(AM12:AQ12)=0,"No recupera en 5 años",MIN(AM12:AQ12))</f>
        <v>4.28086885184694</v>
      </c>
    </row>
    <row r="88" customFormat="false" ht="15" hidden="false" customHeight="false" outlineLevel="0" collapsed="false">
      <c r="A88" s="7" t="s">
        <v>389</v>
      </c>
      <c r="B88" s="6" t="n">
        <f aca="false">SUMPRODUCT($B$62:$G$62,$B$7:$G$7)</f>
        <v>-138470.226579767</v>
      </c>
      <c r="C88" s="27" t="n">
        <f aca="false">B88*(Tasas!$C$13*(1+Tasas!$C$13)^5)/((1+Tasas!$C$13)^5-1)</f>
        <v>-49075.1256966126</v>
      </c>
      <c r="D88" s="27" t="n">
        <f aca="false">SUMPRODUCT(($B$62:$G$62&gt;0)*$B$62:$G$62,$B$7:$G$7)</f>
        <v>458452.499971893</v>
      </c>
      <c r="E88" s="27" t="n">
        <f aca="false">SUMPRODUCT(($B$62:$G$62&lt;0)*(-$B$62:$G$62),$B$7:$G$7)</f>
        <v>596922.72655166</v>
      </c>
      <c r="F88" s="45" t="n">
        <f aca="false">IF(E88=0,"n.a.",D88/E88)</f>
        <v>0.768026546116463</v>
      </c>
      <c r="G88" s="46" t="str">
        <f aca="false">IF(COUNT(AM13:AQ13)=0,"No recupera en 5 años",MIN(AM13:AQ13))</f>
        <v>No recupera en 5 años</v>
      </c>
    </row>
    <row r="90" customFormat="false" ht="39.55" hidden="false" customHeight="false" outlineLevel="0" collapsed="false">
      <c r="A90" s="3" t="s">
        <v>15</v>
      </c>
      <c r="B90" s="3" t="s">
        <v>435</v>
      </c>
      <c r="C90" s="3" t="s">
        <v>436</v>
      </c>
      <c r="D90" s="3" t="s">
        <v>437</v>
      </c>
      <c r="E90" s="3" t="s">
        <v>438</v>
      </c>
      <c r="F90" s="3" t="s">
        <v>96</v>
      </c>
      <c r="G90" s="3" t="s">
        <v>439</v>
      </c>
    </row>
    <row r="91" customFormat="false" ht="15" hidden="false" customHeight="false" outlineLevel="0" collapsed="false">
      <c r="A91" s="7" t="s">
        <v>376</v>
      </c>
      <c r="B91" s="47" t="n">
        <f aca="false">IF(OR(MAX($J$5:$AD$5)&lt;0,MIN($J$5:$AD$5)&gt;0),"-",INDEX($J$4:$AD$4,MATCH(0,$J$5:$AD$5,-1)))</f>
        <v>0.25</v>
      </c>
      <c r="C91" s="27" t="n">
        <f aca="false">IF(OR(MAX($J$5:$AD$5)&lt;0,MIN($J$5:$AD$5)&gt;0),"-",INDEX($J$5:$AD$5,MATCH(0,$J$5:$AD$5,-1)))</f>
        <v>20625.4588394618</v>
      </c>
      <c r="D91" s="47" t="n">
        <f aca="false">IF(OR(MAX($J$5:$AD$5)&lt;0,MIN($J$5:$AD$5)&gt;0),"-",INDEX($J$4:$AD$4,MATCH(0,$J$5:$AD$5,-1)+1))</f>
        <v>0.3</v>
      </c>
      <c r="E91" s="27" t="n">
        <f aca="false">IF(OR(MAX($J$5:$AD$5)&lt;0,MIN($J$5:$AD$5)&gt;0),"-",INDEX($J$5:$AD$5,MATCH(0,$J$5:$AD$5,-1)+1))</f>
        <v>-19016.8867837899</v>
      </c>
      <c r="F91" s="33" t="n">
        <f aca="false">IF(OR(MAX($J$5:$AD$5)&lt;0,MIN($J$5:$AD$5)&gt;0),"No existe",B91+C91/(C91-E91)*(D91-B91))</f>
        <v>0.276014427899246</v>
      </c>
      <c r="G91" s="32" t="n">
        <f aca="false">IFERROR(IRR($B$26:$G$26),"No existe")</f>
        <v>0.274727788976494</v>
      </c>
    </row>
    <row r="92" customFormat="false" ht="15" hidden="false" customHeight="false" outlineLevel="0" collapsed="false">
      <c r="A92" s="7" t="s">
        <v>8</v>
      </c>
      <c r="B92" s="47" t="n">
        <f aca="false">IF(OR(MAX($J$6:$AD$6)&lt;0,MIN($J$6:$AD$6)&gt;0),"-",INDEX($J$4:$AD$4,MATCH(0,$J$6:$AD$6,-1)))</f>
        <v>-0.15</v>
      </c>
      <c r="C92" s="27" t="n">
        <f aca="false">IF(OR(MAX($J$6:$AD$6)&lt;0,MIN($J$6:$AD$6)&gt;0),"-",INDEX($J$6:$AD$6,MATCH(0,$J$6:$AD$6,-1)))</f>
        <v>6072.99925274169</v>
      </c>
      <c r="D92" s="47" t="n">
        <f aca="false">IF(OR(MAX($J$6:$AD$6)&lt;0,MIN($J$6:$AD$6)&gt;0),"-",INDEX($J$4:$AD$4,MATCH(0,$J$6:$AD$6,-1)+1))</f>
        <v>-0.1</v>
      </c>
      <c r="E92" s="27" t="n">
        <f aca="false">IF(OR(MAX($J$6:$AD$6)&lt;0,MIN($J$6:$AD$6)&gt;0),"-",INDEX($J$6:$AD$6,MATCH(0,$J$6:$AD$6,-1)+1))</f>
        <v>-41464.4490169182</v>
      </c>
      <c r="F92" s="33" t="n">
        <f aca="false">IF(OR(MAX($J$6:$AD$6)&lt;0,MIN($J$6:$AD$6)&gt;0),"No existe",B92+C92/(C92-E92)*(D92-B92))</f>
        <v>-0.143612405089255</v>
      </c>
      <c r="G92" s="32" t="n">
        <f aca="false">IFERROR(IRR($B$42:$G$42),"No existe")</f>
        <v>-0.144511749095087</v>
      </c>
    </row>
    <row r="93" customFormat="false" ht="15" hidden="false" customHeight="false" outlineLevel="0" collapsed="false">
      <c r="A93" s="7" t="s">
        <v>9</v>
      </c>
      <c r="B93" s="47" t="n">
        <f aca="false">IF(OR(MAX($J$7:$AD$7)&lt;0,MIN($J$7:$AD$7)&gt;0),"-",INDEX($J$4:$AD$4,MATCH(0,$J$7:$AD$7,-1)))</f>
        <v>-0.05</v>
      </c>
      <c r="C93" s="27" t="n">
        <f aca="false">IF(OR(MAX($J$7:$AD$7)&lt;0,MIN($J$7:$AD$7)&gt;0),"-",INDEX($J$7:$AD$7,MATCH(0,$J$7:$AD$7,-1)))</f>
        <v>26819.8647469265</v>
      </c>
      <c r="D93" s="47" t="n">
        <f aca="false">IF(OR(MAX($J$7:$AD$7)&lt;0,MIN($J$7:$AD$7)&gt;0),"-",INDEX($J$4:$AD$4,MATCH(0,$J$7:$AD$7,-1)+1))</f>
        <v>0</v>
      </c>
      <c r="E93" s="27" t="n">
        <f aca="false">IF(OR(MAX($J$7:$AD$7)&lt;0,MIN($J$7:$AD$7)&gt;0),"-",INDEX($J$7:$AD$7,MATCH(0,$J$7:$AD$7,-1)+1))</f>
        <v>-1551</v>
      </c>
      <c r="F93" s="33" t="n">
        <f aca="false">IF(OR(MAX($J$7:$AD$7)&lt;0,MIN($J$7:$AD$7)&gt;0),"No existe",B93+C93/(C93-E93)*(D93-B93))</f>
        <v>-0.00273343800732761</v>
      </c>
      <c r="G93" s="32" t="n">
        <f aca="false">IFERROR(IRR($B$57:$G$57),"No existe")</f>
        <v>-0.00314136521422793</v>
      </c>
    </row>
    <row r="94" customFormat="false" ht="15" hidden="false" customHeight="false" outlineLevel="0" collapsed="false">
      <c r="A94" s="7" t="s">
        <v>10</v>
      </c>
      <c r="B94" s="47" t="n">
        <f aca="false">IF(OR(MAX($J$8:$AD$8)&lt;0,MIN($J$8:$AD$8)&gt;0),"-",INDEX($J$4:$AD$4,MATCH(0,$J$8:$AD$8,-1)))</f>
        <v>-0.1</v>
      </c>
      <c r="C94" s="27" t="n">
        <f aca="false">IF(OR(MAX($J$8:$AD$8)&lt;0,MIN($J$8:$AD$8)&gt;0),"-",INDEX($J$8:$AD$8,MATCH(0,$J$8:$AD$8,-1)))</f>
        <v>23623.6446002472</v>
      </c>
      <c r="D94" s="47" t="n">
        <f aca="false">IF(OR(MAX($J$8:$AD$8)&lt;0,MIN($J$8:$AD$8)&gt;0),"-",INDEX($J$4:$AD$4,MATCH(0,$J$8:$AD$8,-1)+1))</f>
        <v>-0.05</v>
      </c>
      <c r="E94" s="27" t="n">
        <f aca="false">IF(OR(MAX($J$8:$AD$8)&lt;0,MIN($J$8:$AD$8)&gt;0),"-",INDEX($J$8:$AD$8,MATCH(0,$J$8:$AD$8,-1)+1))</f>
        <v>-48362.6968146265</v>
      </c>
      <c r="F94" s="33" t="n">
        <f aca="false">IF(OR(MAX($J$8:$AD$8)&lt;0,MIN($J$8:$AD$8)&gt;0),"No existe",B94+C94/(C94-E94)*(D94-B94))</f>
        <v>-0.0835915785300862</v>
      </c>
      <c r="G94" s="32" t="n">
        <f aca="false">IFERROR(IRR($B$60:$G$60),"No existe")</f>
        <v>-0.0852946419612528</v>
      </c>
    </row>
    <row r="95" customFormat="false" ht="15" hidden="false" customHeight="false" outlineLevel="0" collapsed="false">
      <c r="A95" s="7" t="s">
        <v>381</v>
      </c>
      <c r="B95" s="47" t="n">
        <f aca="false">IF(OR(MAX($J$9:$AD$9)&lt;0,MIN($J$9:$AD$9)&gt;0),"-",INDEX($J$4:$AD$4,MATCH(0,$J$9:$AD$9,-1)))</f>
        <v>0.1</v>
      </c>
      <c r="C95" s="27" t="n">
        <f aca="false">IF(OR(MAX($J$9:$AD$9)&lt;0,MIN($J$9:$AD$9)&gt;0),"-",INDEX($J$9:$AD$9,MATCH(0,$J$9:$AD$9,-1)))</f>
        <v>38799.762837779</v>
      </c>
      <c r="D95" s="47" t="n">
        <f aca="false">IF(OR(MAX($J$9:$AD$9)&lt;0,MIN($J$9:$AD$9)&gt;0),"-",INDEX($J$4:$AD$4,MATCH(0,$J$9:$AD$9,-1)+1))</f>
        <v>0.15</v>
      </c>
      <c r="E95" s="27" t="n">
        <f aca="false">IF(OR(MAX($J$9:$AD$9)&lt;0,MIN($J$9:$AD$9)&gt;0),"-",INDEX($J$9:$AD$9,MATCH(0,$J$9:$AD$9,-1)+1))</f>
        <v>-60286.0724008799</v>
      </c>
      <c r="F95" s="33" t="n">
        <f aca="false">IF(OR(MAX($J$9:$AD$9)&lt;0,MIN($J$9:$AD$9)&gt;0),"No existe",B95+C95/(C95-E95)*(D95-B95))</f>
        <v>0.119578864498808</v>
      </c>
      <c r="G95" s="32" t="n">
        <f aca="false">IFERROR(IRR($B$61:$G$61),"No existe")</f>
        <v>0.11813351041258</v>
      </c>
    </row>
    <row r="96" customFormat="false" ht="15" hidden="false" customHeight="false" outlineLevel="0" collapsed="false">
      <c r="A96" s="7" t="s">
        <v>383</v>
      </c>
      <c r="B96" s="47" t="n">
        <f aca="false">IF(OR(MAX($J$10:$AD$10)&lt;0,MIN($J$10:$AD$10)&gt;0),"-",INDEX($J$4:$AD$4,MATCH(0,$J$10:$AD$10,-1)))</f>
        <v>0.15</v>
      </c>
      <c r="C96" s="27" t="n">
        <f aca="false">IF(OR(MAX($J$10:$AD$10)&lt;0,MIN($J$10:$AD$10)&gt;0),"-",INDEX($J$10:$AD$10,MATCH(0,$J$10:$AD$10,-1)))</f>
        <v>13885.0402405647</v>
      </c>
      <c r="D96" s="47" t="n">
        <f aca="false">IF(OR(MAX($J$10:$AD$10)&lt;0,MIN($J$10:$AD$10)&gt;0),"-",INDEX($J$4:$AD$4,MATCH(0,$J$10:$AD$10,-1)+1))</f>
        <v>0.2</v>
      </c>
      <c r="E96" s="27" t="n">
        <f aca="false">IF(OR(MAX($J$10:$AD$10)&lt;0,MIN($J$10:$AD$10)&gt;0),"-",INDEX($J$10:$AD$10,MATCH(0,$J$10:$AD$10,-1)+1))</f>
        <v>-32357.9007321933</v>
      </c>
      <c r="F96" s="33" t="n">
        <f aca="false">IF(OR(MAX($J$10:$AD$10)&lt;0,MIN($J$10:$AD$10)&gt;0),"No existe",B96+C96/(C96-E96)*(D96-B96))</f>
        <v>0.165013145734767</v>
      </c>
      <c r="G96" s="32" t="n">
        <f aca="false">IFERROR(IRR($B$70:$G$70),"No existe")</f>
        <v>0.16348742747872</v>
      </c>
    </row>
    <row r="97" customFormat="false" ht="15" hidden="false" customHeight="false" outlineLevel="0" collapsed="false">
      <c r="A97" s="7" t="s">
        <v>385</v>
      </c>
      <c r="B97" s="47" t="n">
        <f aca="false">IF(OR(MAX($J$11:$AD$11)&lt;0,MIN($J$11:$AD$11)&gt;0),"-",INDEX($J$4:$AD$4,MATCH(0,$J$11:$AD$11,-1)))</f>
        <v>0.5</v>
      </c>
      <c r="C97" s="27" t="n">
        <f aca="false">IF(OR(MAX($J$11:$AD$11)&lt;0,MIN($J$11:$AD$11)&gt;0),"-",INDEX($J$11:$AD$11,MATCH(0,$J$11:$AD$11,-1)))</f>
        <v>5793.70879253851</v>
      </c>
      <c r="D97" s="47" t="n">
        <f aca="false">IF(OR(MAX($J$11:$AD$11)&lt;0,MIN($J$11:$AD$11)&gt;0),"-",INDEX($J$4:$AD$4,MATCH(0,$J$11:$AD$11,-1)+1))</f>
        <v>0.55</v>
      </c>
      <c r="E97" s="27" t="n">
        <f aca="false">IF(OR(MAX($J$11:$AD$11)&lt;0,MIN($J$11:$AD$11)&gt;0),"-",INDEX($J$11:$AD$11,MATCH(0,$J$11:$AD$11,-1)+1))</f>
        <v>-2464.32130634531</v>
      </c>
      <c r="F97" s="33" t="n">
        <f aca="false">IF(OR(MAX($J$11:$AD$11)&lt;0,MIN($J$11:$AD$11)&gt;0),"No existe",B97+C97/(C97-E97)*(D97-B97))</f>
        <v>0.535079242405048</v>
      </c>
      <c r="G97" s="32" t="n">
        <f aca="false">IFERROR(IRR($B$76:$G$76),"No existe")</f>
        <v>0.533872182377996</v>
      </c>
    </row>
    <row r="98" customFormat="false" ht="15" hidden="false" customHeight="false" outlineLevel="0" collapsed="false">
      <c r="A98" s="7" t="s">
        <v>387</v>
      </c>
      <c r="B98" s="47" t="n">
        <f aca="false">IF(OR(MAX($J$12:$AD$12)&lt;0,MIN($J$12:$AD$12)&gt;0),"-",INDEX($J$4:$AD$4,MATCH(0,$J$12:$AD$12,-1)))</f>
        <v>0.35</v>
      </c>
      <c r="C98" s="27" t="n">
        <f aca="false">IF(OR(MAX($J$12:$AD$12)&lt;0,MIN($J$12:$AD$12)&gt;0),"-",INDEX($J$12:$AD$12,MATCH(0,$J$12:$AD$12,-1)))</f>
        <v>605.007795096466</v>
      </c>
      <c r="D98" s="47" t="n">
        <f aca="false">IF(OR(MAX($J$12:$AD$12)&lt;0,MIN($J$12:$AD$12)&gt;0),"-",INDEX($J$4:$AD$4,MATCH(0,$J$12:$AD$12,-1)+1))</f>
        <v>0.4</v>
      </c>
      <c r="E98" s="27" t="n">
        <f aca="false">IF(OR(MAX($J$12:$AD$12)&lt;0,MIN($J$12:$AD$12)&gt;0),"-",INDEX($J$12:$AD$12,MATCH(0,$J$12:$AD$12,-1)+1))</f>
        <v>-33350.2359334833</v>
      </c>
      <c r="F98" s="33" t="n">
        <f aca="false">IF(OR(MAX($J$12:$AD$12)&lt;0,MIN($J$12:$AD$12)&gt;0),"No existe",B98+C98/(C98-E98)*(D98-B98))</f>
        <v>0.350890890078617</v>
      </c>
      <c r="G98" s="32" t="n">
        <f aca="false">IFERROR(IRR($B$27:$G$27),"No existe")</f>
        <v>0.350812881793928</v>
      </c>
    </row>
    <row r="99" customFormat="false" ht="15" hidden="false" customHeight="false" outlineLevel="0" collapsed="false">
      <c r="A99" s="7" t="s">
        <v>389</v>
      </c>
      <c r="B99" s="47" t="n">
        <f aca="false">IF(OR(MAX($J$13:$AD$13)&lt;0,MIN($J$13:$AD$13)&gt;0),"-",INDEX($J$4:$AD$4,MATCH(0,$J$13:$AD$13,-1)))</f>
        <v>0.1</v>
      </c>
      <c r="C99" s="27" t="n">
        <f aca="false">IF(OR(MAX($J$13:$AD$13)&lt;0,MIN($J$13:$AD$13)&gt;0),"-",INDEX($J$13:$AD$13,MATCH(0,$J$13:$AD$13,-1)))</f>
        <v>116840.815026926</v>
      </c>
      <c r="D99" s="47" t="n">
        <f aca="false">IF(OR(MAX($J$13:$AD$13)&lt;0,MIN($J$13:$AD$13)&gt;0),"-",INDEX($J$4:$AD$4,MATCH(0,$J$13:$AD$13,-1)+1))</f>
        <v>0.15</v>
      </c>
      <c r="E99" s="27" t="n">
        <f aca="false">IF(OR(MAX($J$13:$AD$13)&lt;0,MIN($J$13:$AD$13)&gt;0),"-",INDEX($J$13:$AD$13,MATCH(0,$J$13:$AD$13,-1)+1))</f>
        <v>-2671.58605462184</v>
      </c>
      <c r="F99" s="33" t="n">
        <f aca="false">IF(OR(MAX($J$13:$AD$13)&lt;0,MIN($J$13:$AD$13)&gt;0),"No existe",B99+C99/(C99-E99)*(D99-B99))</f>
        <v>0.148882297556385</v>
      </c>
      <c r="G99" s="32" t="n">
        <f aca="false">IFERROR(IRR($B$62:$G$62),"No existe")</f>
        <v>0.148736247677528</v>
      </c>
    </row>
    <row r="100" customFormat="false" ht="15" hidden="false" customHeight="false" outlineLevel="0" collapsed="false">
      <c r="A100" s="2" t="s">
        <v>440</v>
      </c>
    </row>
    <row r="102" customFormat="false" ht="39.55" hidden="false" customHeight="false" outlineLevel="0" collapsed="false">
      <c r="A102" s="3" t="s">
        <v>16</v>
      </c>
      <c r="B102" s="3" t="s">
        <v>441</v>
      </c>
      <c r="C102" s="3" t="s">
        <v>442</v>
      </c>
      <c r="D102" s="3" t="s">
        <v>443</v>
      </c>
      <c r="E102" s="3"/>
      <c r="F102" s="3"/>
      <c r="G102" s="3"/>
    </row>
    <row r="103" customFormat="false" ht="15" hidden="false" customHeight="false" outlineLevel="0" collapsed="false">
      <c r="A103" s="7" t="s">
        <v>376</v>
      </c>
      <c r="B103" s="27" t="n">
        <f aca="false">SUMPRODUCT(($B$26:$G$26&lt;0)*(-$B$26:$G$26),(1+Tasas!$C$14)^(-$B$5:$G$5))</f>
        <v>260000</v>
      </c>
      <c r="C103" s="27" t="n">
        <f aca="false">SUMPRODUCT(($B$26:$G$26&gt;0)*$B$26:$G$26,(1+Tasas!$C$10)^(Supuestos!$C$10-$B$5:$G$5))</f>
        <v>792500.541980698</v>
      </c>
      <c r="D103" s="33" t="n">
        <f aca="false">IF(OR(B103=0,C103=0),"No existe",(C103/B103)^(1/Supuestos!$C$10)-1)</f>
        <v>0.249698486882898</v>
      </c>
    </row>
    <row r="104" customFormat="false" ht="15" hidden="false" customHeight="false" outlineLevel="0" collapsed="false">
      <c r="A104" s="7" t="s">
        <v>8</v>
      </c>
      <c r="B104" s="27" t="n">
        <f aca="false">SUMPRODUCT(($B$42:$G$42&lt;0)*(-$B$42:$G$42),(1+Tasas!$C$14)^(-$B$5:$G$5))</f>
        <v>205524.599836006</v>
      </c>
      <c r="C104" s="27" t="n">
        <f aca="false">SUMPRODUCT(($B$42:$G$42&gt;0)*$B$42:$G$42,(1+Tasas!$C$10)^(Supuestos!$C$10-$B$5:$G$5))</f>
        <v>129415.832</v>
      </c>
      <c r="D104" s="33" t="n">
        <f aca="false">IF(OR(B104=0,C104=0),"No existe",(C104/B104)^(1/Supuestos!$C$10)-1)</f>
        <v>-0.0883571724020985</v>
      </c>
    </row>
    <row r="105" customFormat="false" ht="15" hidden="false" customHeight="false" outlineLevel="0" collapsed="false">
      <c r="A105" s="7" t="s">
        <v>9</v>
      </c>
      <c r="B105" s="27" t="n">
        <f aca="false">SUMPRODUCT(($B$57:$G$57&lt;0)*(-$B$57:$G$57),(1+Tasas!$C$14)^(-$B$5:$G$5))</f>
        <v>120562.188364066</v>
      </c>
      <c r="C105" s="27" t="n">
        <f aca="false">SUMPRODUCT(($B$57:$G$57&gt;0)*$B$57:$G$57,(1+Tasas!$C$10)^(Supuestos!$C$10-$B$5:$G$5))</f>
        <v>137939.4688</v>
      </c>
      <c r="D105" s="33" t="n">
        <f aca="false">IF(OR(B105=0,C105=0),"No existe",(C105/B105)^(1/Supuestos!$C$10)-1)</f>
        <v>0.0272957356932613</v>
      </c>
    </row>
    <row r="106" customFormat="false" ht="15" hidden="false" customHeight="false" outlineLevel="0" collapsed="false">
      <c r="A106" s="7" t="s">
        <v>10</v>
      </c>
      <c r="B106" s="27" t="n">
        <f aca="false">SUMPRODUCT(($B$60:$G$60&lt;0)*(-$B$60:$G$60),(1+Tasas!$C$14)^(-$B$5:$G$5))</f>
        <v>326086.788200073</v>
      </c>
      <c r="C106" s="27" t="n">
        <f aca="false">SUMPRODUCT(($B$60:$G$60&gt;0)*$B$60:$G$60,(1+Tasas!$C$10)^(Supuestos!$C$10-$B$5:$G$5))</f>
        <v>267355.3008</v>
      </c>
      <c r="D106" s="33" t="n">
        <f aca="false">IF(OR(B106=0,C106=0),"No existe",(C106/B106)^(1/Supuestos!$C$10)-1)</f>
        <v>-0.0389386341466008</v>
      </c>
    </row>
    <row r="107" customFormat="false" ht="15" hidden="false" customHeight="false" outlineLevel="0" collapsed="false">
      <c r="A107" s="7" t="s">
        <v>381</v>
      </c>
      <c r="B107" s="27" t="n">
        <f aca="false">SUMPRODUCT(($B$61:$G$61&lt;0)*(-$B$61:$G$61),(1+Tasas!$C$14)^(-$B$5:$G$5))</f>
        <v>554854.77872186</v>
      </c>
      <c r="C107" s="27" t="n">
        <f aca="false">SUMPRODUCT(($B$61:$G$61&gt;0)*$B$61:$G$61,(1+Tasas!$C$10)^(Supuestos!$C$10-$B$5:$G$5))</f>
        <v>997829.431767142</v>
      </c>
      <c r="D107" s="33" t="n">
        <f aca="false">IF(OR(B107=0,C107=0),"No existe",(C107/B107)^(1/Supuestos!$C$10)-1)</f>
        <v>0.124541263164248</v>
      </c>
    </row>
    <row r="108" customFormat="false" ht="15" hidden="false" customHeight="false" outlineLevel="0" collapsed="false">
      <c r="A108" s="7" t="s">
        <v>383</v>
      </c>
      <c r="B108" s="27" t="n">
        <f aca="false">SUMPRODUCT(($B$70:$G$70&lt;0)*(-$B$70:$G$70),(1+Tasas!$C$14)^(-$B$5:$G$5))</f>
        <v>374527.974617664</v>
      </c>
      <c r="C108" s="27" t="n">
        <f aca="false">SUMPRODUCT(($B$70:$G$70&gt;0)*$B$70:$G$70,(1+Tasas!$C$10)^(Supuestos!$C$10-$B$5:$G$5))</f>
        <v>757460.290779955</v>
      </c>
      <c r="D108" s="33" t="n">
        <f aca="false">IF(OR(B108=0,C108=0),"No existe",(C108/B108)^(1/Supuestos!$C$10)-1)</f>
        <v>0.151264522630038</v>
      </c>
    </row>
    <row r="109" customFormat="false" ht="15" hidden="false" customHeight="false" outlineLevel="0" collapsed="false">
      <c r="A109" s="7" t="s">
        <v>385</v>
      </c>
      <c r="B109" s="27" t="n">
        <f aca="false">SUMPRODUCT(($B$76:$G$76&lt;0)*(-$B$76:$G$76),(1+Tasas!$C$14)^(-$B$5:$G$5))</f>
        <v>106379.774286995</v>
      </c>
      <c r="C109" s="27" t="n">
        <f aca="false">SUMPRODUCT(($B$76:$G$76&gt;0)*$B$76:$G$76,(1+Tasas!$C$10)^(Supuestos!$C$10-$B$5:$G$5))</f>
        <v>552531.410779955</v>
      </c>
      <c r="D109" s="33" t="n">
        <f aca="false">IF(OR(B109=0,C109=0),"No existe",(C109/B109)^(1/Supuestos!$C$10)-1)</f>
        <v>0.390271376895356</v>
      </c>
    </row>
    <row r="110" customFormat="false" ht="15" hidden="false" customHeight="false" outlineLevel="0" collapsed="false">
      <c r="A110" s="2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5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446</v>
      </c>
    </row>
    <row r="2" customFormat="false" ht="15" hidden="false" customHeight="false" outlineLevel="0" collapsed="false">
      <c r="A2" s="2" t="s">
        <v>371</v>
      </c>
    </row>
    <row r="3" customFormat="false" ht="15" hidden="false" customHeight="false" outlineLevel="0" collapsed="false">
      <c r="I3" s="39" t="s">
        <v>372</v>
      </c>
      <c r="AF3" s="39" t="s">
        <v>373</v>
      </c>
    </row>
    <row r="4" customFormat="false" ht="15" hidden="false" customHeight="false" outlineLevel="0" collapsed="false">
      <c r="A4" s="3" t="s">
        <v>134</v>
      </c>
      <c r="B4" s="3" t="s">
        <v>374</v>
      </c>
      <c r="C4" s="3" t="s">
        <v>137</v>
      </c>
      <c r="D4" s="3" t="s">
        <v>138</v>
      </c>
      <c r="E4" s="3" t="s">
        <v>139</v>
      </c>
      <c r="F4" s="3" t="s">
        <v>140</v>
      </c>
      <c r="G4" s="3" t="s">
        <v>141</v>
      </c>
      <c r="J4" s="40" t="n">
        <v>-0.4</v>
      </c>
      <c r="K4" s="40" t="n">
        <v>-0.35</v>
      </c>
      <c r="L4" s="40" t="n">
        <v>-0.3</v>
      </c>
      <c r="M4" s="40" t="n">
        <v>-0.25</v>
      </c>
      <c r="N4" s="40" t="n">
        <v>-0.2</v>
      </c>
      <c r="O4" s="40" t="n">
        <v>-0.15</v>
      </c>
      <c r="P4" s="40" t="n">
        <v>-0.1</v>
      </c>
      <c r="Q4" s="40" t="n">
        <v>-0.05</v>
      </c>
      <c r="R4" s="40" t="n">
        <v>0</v>
      </c>
      <c r="S4" s="40" t="n">
        <v>0.05</v>
      </c>
      <c r="T4" s="40" t="n">
        <v>0.1</v>
      </c>
      <c r="U4" s="40" t="n">
        <v>0.15</v>
      </c>
      <c r="V4" s="40" t="n">
        <v>0.2</v>
      </c>
      <c r="W4" s="40" t="n">
        <v>0.25</v>
      </c>
      <c r="X4" s="40" t="n">
        <v>0.3</v>
      </c>
      <c r="Y4" s="40" t="n">
        <v>0.35</v>
      </c>
      <c r="Z4" s="40" t="n">
        <v>0.4</v>
      </c>
      <c r="AA4" s="40" t="n">
        <v>0.45</v>
      </c>
      <c r="AB4" s="40" t="n">
        <v>0.5</v>
      </c>
      <c r="AC4" s="40" t="n">
        <v>0.55</v>
      </c>
      <c r="AD4" s="40" t="n">
        <v>0.6</v>
      </c>
    </row>
    <row r="5" customFormat="false" ht="15" hidden="false" customHeight="false" outlineLevel="0" collapsed="false">
      <c r="A5" s="7" t="s">
        <v>375</v>
      </c>
      <c r="B5" s="34" t="n">
        <v>0</v>
      </c>
      <c r="C5" s="34" t="n">
        <v>1</v>
      </c>
      <c r="D5" s="34" t="n">
        <v>2</v>
      </c>
      <c r="E5" s="34" t="n">
        <v>3</v>
      </c>
      <c r="F5" s="34" t="n">
        <v>4</v>
      </c>
      <c r="G5" s="34" t="n">
        <v>5</v>
      </c>
      <c r="I5" s="39" t="s">
        <v>376</v>
      </c>
      <c r="J5" s="41" t="n">
        <f aca="false">SUMPRODUCT($B$26:$G$26,(1+J$4)^(-$B$5:$G$5))</f>
        <v>11487023.3666481</v>
      </c>
      <c r="K5" s="41" t="n">
        <f aca="false">SUMPRODUCT($B$26:$G$26,(1+K$4)^(-$B$5:$G$5))</f>
        <v>7901501.70872085</v>
      </c>
      <c r="L5" s="41" t="n">
        <f aca="false">SUMPRODUCT($B$26:$G$26,(1+L$4)^(-$B$5:$G$5))</f>
        <v>5587751.5989964</v>
      </c>
      <c r="M5" s="41" t="n">
        <f aca="false">SUMPRODUCT($B$26:$G$26,(1+M$4)^(-$B$5:$G$5))</f>
        <v>4043223.59210734</v>
      </c>
      <c r="N5" s="41" t="n">
        <f aca="false">SUMPRODUCT($B$26:$G$26,(1+N$4)^(-$B$5:$G$5))</f>
        <v>2981434.48744866</v>
      </c>
      <c r="O5" s="41" t="n">
        <f aca="false">SUMPRODUCT($B$26:$G$26,(1+O$4)^(-$B$5:$G$5))</f>
        <v>2232471.07382325</v>
      </c>
      <c r="P5" s="41" t="n">
        <f aca="false">SUMPRODUCT($B$26:$G$26,(1+P$4)^(-$B$5:$G$5))</f>
        <v>1692015.08642485</v>
      </c>
      <c r="Q5" s="41" t="n">
        <f aca="false">SUMPRODUCT($B$26:$G$26,(1+Q$4)^(-$B$5:$G$5))</f>
        <v>1294043.02100979</v>
      </c>
      <c r="R5" s="41" t="n">
        <f aca="false">SUMPRODUCT($B$26:$G$26,(1+R$4)^(-$B$5:$G$5))</f>
        <v>995625.877342655</v>
      </c>
      <c r="S5" s="41" t="n">
        <f aca="false">SUMPRODUCT($B$26:$G$26,(1+S$4)^(-$B$5:$G$5))</f>
        <v>768170.13211216</v>
      </c>
      <c r="T5" s="41" t="n">
        <f aca="false">SUMPRODUCT($B$26:$G$26,(1+T$4)^(-$B$5:$G$5))</f>
        <v>592213.592047786</v>
      </c>
      <c r="U5" s="41" t="n">
        <f aca="false">SUMPRODUCT($B$26:$G$26,(1+U$4)^(-$B$5:$G$5))</f>
        <v>454247.362696817</v>
      </c>
      <c r="V5" s="41" t="n">
        <f aca="false">SUMPRODUCT($B$26:$G$26,(1+V$4)^(-$B$5:$G$5))</f>
        <v>344726.489380544</v>
      </c>
      <c r="W5" s="41" t="n">
        <f aca="false">SUMPRODUCT($B$26:$G$26,(1+W$4)^(-$B$5:$G$5))</f>
        <v>256796.418994054</v>
      </c>
      <c r="X5" s="41" t="n">
        <f aca="false">SUMPRODUCT($B$26:$G$26,(1+X$4)^(-$B$5:$G$5))</f>
        <v>185460.876813417</v>
      </c>
      <c r="Y5" s="41" t="n">
        <f aca="false">SUMPRODUCT($B$26:$G$26,(1+Y$4)^(-$B$5:$G$5))</f>
        <v>127027.89779987</v>
      </c>
      <c r="Z5" s="41" t="n">
        <f aca="false">SUMPRODUCT($B$26:$G$26,(1+Z$4)^(-$B$5:$G$5))</f>
        <v>78734.643515128</v>
      </c>
      <c r="AA5" s="41" t="n">
        <f aca="false">SUMPRODUCT($B$26:$G$26,(1+AA$4)^(-$B$5:$G$5))</f>
        <v>38489.2482398024</v>
      </c>
      <c r="AB5" s="41" t="n">
        <f aca="false">SUMPRODUCT($B$26:$G$26,(1+AB$4)^(-$B$5:$G$5))</f>
        <v>4690.56914933963</v>
      </c>
      <c r="AC5" s="41" t="n">
        <f aca="false">SUMPRODUCT($B$26:$G$26,(1+AC$4)^(-$B$5:$G$5))</f>
        <v>-23899.3905313022</v>
      </c>
      <c r="AD5" s="41" t="n">
        <f aca="false">SUMPRODUCT($B$26:$G$26,(1+AD$4)^(-$B$5:$G$5))</f>
        <v>-48246.9261816705</v>
      </c>
      <c r="AF5" s="41" t="n">
        <f aca="false">B26*B6</f>
        <v>-260000</v>
      </c>
      <c r="AG5" s="41" t="n">
        <f aca="false">C26*C6+AF5</f>
        <v>-229133.293485042</v>
      </c>
      <c r="AH5" s="41" t="n">
        <f aca="false">D26*D6+AG5</f>
        <v>-156373.960738584</v>
      </c>
      <c r="AI5" s="41" t="n">
        <f aca="false">E26*E6+AH5</f>
        <v>-37402.4945047884</v>
      </c>
      <c r="AJ5" s="41" t="n">
        <f aca="false">F26*F6+AI5</f>
        <v>121941.103211091</v>
      </c>
      <c r="AK5" s="41" t="n">
        <f aca="false">G26*G6+AJ5</f>
        <v>430319.343366045</v>
      </c>
      <c r="AM5" s="42" t="str">
        <f aca="false">IF(AND(AF5&lt;0,AG5&gt;=0),0+(-AF5)/(C26*C6),"")</f>
        <v/>
      </c>
      <c r="AN5" s="42" t="str">
        <f aca="false">IF(AND(AG5&lt;0,AH5&gt;=0),1+(-AG5)/(D26*D6),"")</f>
        <v/>
      </c>
      <c r="AO5" s="42" t="str">
        <f aca="false">IF(AND(AH5&lt;0,AI5&gt;=0),2+(-AH5)/(E26*E6),"")</f>
        <v/>
      </c>
      <c r="AP5" s="42" t="n">
        <f aca="false">IF(AND(AI5&lt;0,AJ5&gt;=0),3+(-AI5)/(F26*F6),"")</f>
        <v>3.23472856795589</v>
      </c>
      <c r="AQ5" s="42" t="str">
        <f aca="false">IF(AND(AJ5&lt;0,AK5&gt;=0),4+(-AJ5)/(G26*G6),"")</f>
        <v/>
      </c>
    </row>
    <row r="6" customFormat="false" ht="15" hidden="false" customHeight="false" outlineLevel="0" collapsed="false">
      <c r="A6" s="7" t="s">
        <v>377</v>
      </c>
      <c r="B6" s="35" t="n">
        <f aca="false">1/(1+Tasas!$C$10)^B5</f>
        <v>1</v>
      </c>
      <c r="C6" s="35" t="n">
        <f aca="false">1/(1+Tasas!$C$10)^C5</f>
        <v>0.862068965517241</v>
      </c>
      <c r="D6" s="35" t="n">
        <f aca="false">1/(1+Tasas!$C$10)^D5</f>
        <v>0.743162901307967</v>
      </c>
      <c r="E6" s="35" t="n">
        <f aca="false">1/(1+Tasas!$C$10)^E5</f>
        <v>0.640657673541351</v>
      </c>
      <c r="F6" s="35" t="n">
        <f aca="false">1/(1+Tasas!$C$10)^F5</f>
        <v>0.552291097880475</v>
      </c>
      <c r="G6" s="35" t="n">
        <f aca="false">1/(1+Tasas!$C$10)^G5</f>
        <v>0.476113015414203</v>
      </c>
      <c r="I6" s="39" t="s">
        <v>8</v>
      </c>
      <c r="J6" s="41" t="n">
        <f aca="false">SUMPRODUCT($B$42:$G$42,(1+J$4)^(-$B$5:$G$5))</f>
        <v>2901434.9537037</v>
      </c>
      <c r="K6" s="41" t="n">
        <f aca="false">SUMPRODUCT($B$42:$G$42,(1+K$4)^(-$B$5:$G$5))</f>
        <v>1980925.11210823</v>
      </c>
      <c r="L6" s="41" t="n">
        <f aca="false">SUMPRODUCT($B$42:$G$42,(1+L$4)^(-$B$5:$G$5))</f>
        <v>1382849.24138752</v>
      </c>
      <c r="M6" s="41" t="n">
        <f aca="false">SUMPRODUCT($B$42:$G$42,(1+M$4)^(-$B$5:$G$5))</f>
        <v>981109.012345679</v>
      </c>
      <c r="N6" s="41" t="n">
        <f aca="false">SUMPRODUCT($B$42:$G$42,(1+N$4)^(-$B$5:$G$5))</f>
        <v>703382.177734375</v>
      </c>
      <c r="O6" s="41" t="n">
        <f aca="false">SUMPRODUCT($B$42:$G$42,(1+O$4)^(-$B$5:$G$5))</f>
        <v>506517.922333024</v>
      </c>
      <c r="P6" s="41" t="n">
        <f aca="false">SUMPRODUCT($B$42:$G$42,(1+P$4)^(-$B$5:$G$5))</f>
        <v>363869.107859574</v>
      </c>
      <c r="Q6" s="41" t="n">
        <f aca="false">SUMPRODUCT($B$42:$G$42,(1+Q$4)^(-$B$5:$G$5))</f>
        <v>258474.830226901</v>
      </c>
      <c r="R6" s="41" t="n">
        <f aca="false">SUMPRODUCT($B$42:$G$42,(1+R$4)^(-$B$5:$G$5))</f>
        <v>179246.25</v>
      </c>
      <c r="S6" s="41" t="n">
        <f aca="false">SUMPRODUCT($B$42:$G$42,(1+S$4)^(-$B$5:$G$5))</f>
        <v>118758.20888122</v>
      </c>
      <c r="T6" s="41" t="n">
        <f aca="false">SUMPRODUCT($B$42:$G$42,(1+T$4)^(-$B$5:$G$5))</f>
        <v>71930.9392676853</v>
      </c>
      <c r="U6" s="41" t="n">
        <f aca="false">SUMPRODUCT($B$42:$G$42,(1+U$4)^(-$B$5:$G$5))</f>
        <v>35221.2793274069</v>
      </c>
      <c r="V6" s="41" t="n">
        <f aca="false">SUMPRODUCT($B$42:$G$42,(1+V$4)^(-$B$5:$G$5))</f>
        <v>6114.08179012347</v>
      </c>
      <c r="W6" s="41" t="n">
        <f aca="false">SUMPRODUCT($B$42:$G$42,(1+W$4)^(-$B$5:$G$5))</f>
        <v>-17204.8352</v>
      </c>
      <c r="X6" s="41" t="n">
        <f aca="false">SUMPRODUCT($B$42:$G$42,(1+X$4)^(-$B$5:$G$5))</f>
        <v>-36063.320746688</v>
      </c>
      <c r="Y6" s="41" t="n">
        <f aca="false">SUMPRODUCT($B$42:$G$42,(1+Y$4)^(-$B$5:$G$5))</f>
        <v>-51446.3937462275</v>
      </c>
      <c r="Z6" s="41" t="n">
        <f aca="false">SUMPRODUCT($B$42:$G$42,(1+Z$4)^(-$B$5:$G$5))</f>
        <v>-64093.8407360028</v>
      </c>
      <c r="AA6" s="41" t="n">
        <f aca="false">SUMPRODUCT($B$42:$G$42,(1+AA$4)^(-$B$5:$G$5))</f>
        <v>-74567.6457398852</v>
      </c>
      <c r="AB6" s="41" t="n">
        <f aca="false">SUMPRODUCT($B$42:$G$42,(1+AB$4)^(-$B$5:$G$5))</f>
        <v>-83299.2592592593</v>
      </c>
      <c r="AC6" s="41" t="n">
        <f aca="false">SUMPRODUCT($B$42:$G$42,(1+AC$4)^(-$B$5:$G$5))</f>
        <v>-90623.183668632</v>
      </c>
      <c r="AD6" s="41" t="n">
        <f aca="false">SUMPRODUCT($B$42:$G$42,(1+AD$4)^(-$B$5:$G$5))</f>
        <v>-96801.1367797852</v>
      </c>
      <c r="AF6" s="41" t="n">
        <f aca="false">B42*B6</f>
        <v>-130000</v>
      </c>
      <c r="AG6" s="41" t="n">
        <f aca="false">C42*C6+AF6</f>
        <v>-162579.74137931</v>
      </c>
      <c r="AH6" s="41" t="n">
        <f aca="false">D42*D6+AG6</f>
        <v>-146929.659631391</v>
      </c>
      <c r="AI6" s="41" t="n">
        <f aca="false">E42*E6+AH6</f>
        <v>-94933.8828467752</v>
      </c>
      <c r="AJ6" s="41" t="n">
        <f aca="false">F42*F6+AI6</f>
        <v>-42515.9347469393</v>
      </c>
      <c r="AK6" s="41" t="n">
        <f aca="false">G42*G6+AJ6</f>
        <v>28858.1673938038</v>
      </c>
      <c r="AM6" s="42" t="str">
        <f aca="false">IF(AND(AF6&lt;0,AG6&gt;=0),0+(-AF6)/(C42*C6),"")</f>
        <v/>
      </c>
      <c r="AN6" s="42" t="str">
        <f aca="false">IF(AND(AG6&lt;0,AH6&gt;=0),1+(-AG6)/(D42*D6),"")</f>
        <v/>
      </c>
      <c r="AO6" s="42" t="str">
        <f aca="false">IF(AND(AH6&lt;0,AI6&gt;=0),2+(-AH6)/(E42*E6),"")</f>
        <v/>
      </c>
      <c r="AP6" s="42" t="str">
        <f aca="false">IF(AND(AI6&lt;0,AJ6&gt;=0),3+(-AI6)/(F42*F6),"")</f>
        <v/>
      </c>
      <c r="AQ6" s="42" t="n">
        <f aca="false">IF(AND(AJ6&lt;0,AK6&gt;=0),4+(-AJ6)/(G42*G6),"")</f>
        <v>4.59567733213795</v>
      </c>
    </row>
    <row r="7" customFormat="false" ht="15" hidden="false" customHeight="false" outlineLevel="0" collapsed="false">
      <c r="A7" s="7" t="s">
        <v>378</v>
      </c>
      <c r="B7" s="35" t="n">
        <f aca="false">1/(1+Tasas!$C$13)^B5</f>
        <v>1</v>
      </c>
      <c r="C7" s="35" t="n">
        <f aca="false">1/(1+Tasas!$C$13)^C5</f>
        <v>0.815028901734104</v>
      </c>
      <c r="D7" s="35" t="n">
        <f aca="false">1/(1+Tasas!$C$13)^D5</f>
        <v>0.6642721106619</v>
      </c>
      <c r="E7" s="35" t="n">
        <f aca="false">1/(1+Tasas!$C$13)^E5</f>
        <v>0.541400968805364</v>
      </c>
      <c r="F7" s="35" t="n">
        <f aca="false">1/(1+Tasas!$C$13)^F5</f>
        <v>0.441257437003216</v>
      </c>
      <c r="G7" s="35" t="n">
        <f aca="false">1/(1+Tasas!$C$13)^G5</f>
        <v>0.359637564262736</v>
      </c>
      <c r="I7" s="39" t="s">
        <v>9</v>
      </c>
      <c r="J7" s="41" t="n">
        <f aca="false">SUMPRODUCT($B$57:$G$57,(1+J$4)^(-$B$5:$G$5))</f>
        <v>2365092.62345679</v>
      </c>
      <c r="K7" s="41" t="n">
        <f aca="false">SUMPRODUCT($B$57:$G$57,(1+K$4)^(-$B$5:$G$5))</f>
        <v>1633105.87805318</v>
      </c>
      <c r="L7" s="41" t="n">
        <f aca="false">SUMPRODUCT($B$57:$G$57,(1+L$4)^(-$B$5:$G$5))</f>
        <v>1155750.82644136</v>
      </c>
      <c r="M7" s="41" t="n">
        <f aca="false">SUMPRODUCT($B$57:$G$57,(1+M$4)^(-$B$5:$G$5))</f>
        <v>833825.234567901</v>
      </c>
      <c r="N7" s="41" t="n">
        <f aca="false">SUMPRODUCT($B$57:$G$57,(1+N$4)^(-$B$5:$G$5))</f>
        <v>610327.998046875</v>
      </c>
      <c r="O7" s="41" t="n">
        <f aca="false">SUMPRODUCT($B$57:$G$57,(1+O$4)^(-$B$5:$G$5))</f>
        <v>451184.469971272</v>
      </c>
      <c r="P7" s="41" t="n">
        <f aca="false">SUMPRODUCT($B$57:$G$57,(1+P$4)^(-$B$5:$G$5))</f>
        <v>335310.46486816</v>
      </c>
      <c r="Q7" s="41" t="n">
        <f aca="false">SUMPRODUCT($B$57:$G$57,(1+Q$4)^(-$B$5:$G$5))</f>
        <v>249258.125939229</v>
      </c>
      <c r="R7" s="41" t="n">
        <f aca="false">SUMPRODUCT($B$57:$G$57,(1+R$4)^(-$B$5:$G$5))</f>
        <v>184216.5</v>
      </c>
      <c r="S7" s="41" t="n">
        <f aca="false">SUMPRODUCT($B$57:$G$57,(1+S$4)^(-$B$5:$G$5))</f>
        <v>134272.544185367</v>
      </c>
      <c r="T7" s="41" t="n">
        <f aca="false">SUMPRODUCT($B$57:$G$57,(1+T$4)^(-$B$5:$G$5))</f>
        <v>95371.5999279731</v>
      </c>
      <c r="U7" s="41" t="n">
        <f aca="false">SUMPRODUCT($B$57:$G$57,(1+U$4)^(-$B$5:$G$5))</f>
        <v>64678.7265967647</v>
      </c>
      <c r="V7" s="41" t="n">
        <f aca="false">SUMPRODUCT($B$57:$G$57,(1+V$4)^(-$B$5:$G$5))</f>
        <v>40176.500771605</v>
      </c>
      <c r="W7" s="41" t="n">
        <f aca="false">SUMPRODUCT($B$57:$G$57,(1+W$4)^(-$B$5:$G$5))</f>
        <v>20405.99424</v>
      </c>
      <c r="X7" s="41" t="n">
        <f aca="false">SUMPRODUCT($B$57:$G$57,(1+X$4)^(-$B$5:$G$5))</f>
        <v>4296.52441602722</v>
      </c>
      <c r="Y7" s="41" t="n">
        <f aca="false">SUMPRODUCT($B$57:$G$57,(1+Y$4)^(-$B$5:$G$5))</f>
        <v>-8948.35323833378</v>
      </c>
      <c r="Z7" s="41" t="n">
        <f aca="false">SUMPRODUCT($B$57:$G$57,(1+Z$4)^(-$B$5:$G$5))</f>
        <v>-19928.5085083596</v>
      </c>
      <c r="AA7" s="41" t="n">
        <f aca="false">SUMPRODUCT($B$57:$G$57,(1+AA$4)^(-$B$5:$G$5))</f>
        <v>-29100.9825349131</v>
      </c>
      <c r="AB7" s="41" t="n">
        <f aca="false">SUMPRODUCT($B$57:$G$57,(1+AB$4)^(-$B$5:$G$5))</f>
        <v>-36817.7283950617</v>
      </c>
      <c r="AC7" s="41" t="n">
        <f aca="false">SUMPRODUCT($B$57:$G$57,(1+AC$4)^(-$B$5:$G$5))</f>
        <v>-43352.4731075679</v>
      </c>
      <c r="AD7" s="41" t="n">
        <f aca="false">SUMPRODUCT($B$57:$G$57,(1+AD$4)^(-$B$5:$G$5))</f>
        <v>-48920.0784301758</v>
      </c>
      <c r="AF7" s="41" t="n">
        <f aca="false">B57*B6</f>
        <v>-90000</v>
      </c>
      <c r="AG7" s="41" t="n">
        <f aca="false">C57*C6+AF7</f>
        <v>-102319.827586207</v>
      </c>
      <c r="AH7" s="41" t="n">
        <f aca="false">D57*D6+AG7</f>
        <v>-82452.4821640904</v>
      </c>
      <c r="AI7" s="41" t="n">
        <f aca="false">E57*E6+AH7</f>
        <v>-38722.4706835049</v>
      </c>
      <c r="AJ7" s="41" t="n">
        <f aca="false">F57*F6+AI7</f>
        <v>4222.58050548511</v>
      </c>
      <c r="AK7" s="41" t="n">
        <f aca="false">G57*G6+AJ7</f>
        <v>59336.4709438024</v>
      </c>
      <c r="AM7" s="42" t="str">
        <f aca="false">IF(AND(AF7&lt;0,AG7&gt;=0),0+(-AF7)/(C57*C6),"")</f>
        <v/>
      </c>
      <c r="AN7" s="42" t="str">
        <f aca="false">IF(AND(AG7&lt;0,AH7&gt;=0),1+(-AG7)/(D57*D6),"")</f>
        <v/>
      </c>
      <c r="AO7" s="42" t="str">
        <f aca="false">IF(AND(AH7&lt;0,AI7&gt;=0),2+(-AH7)/(E57*E6),"")</f>
        <v/>
      </c>
      <c r="AP7" s="42" t="n">
        <f aca="false">IF(AND(AI7&lt;0,AJ7&gt;=0),3+(-AI7)/(F57*F6),"")</f>
        <v>3.90167480562772</v>
      </c>
      <c r="AQ7" s="42" t="str">
        <f aca="false">IF(AND(AJ7&lt;0,AK7&gt;=0),4+(-AJ7)/(G57*G6),"")</f>
        <v/>
      </c>
    </row>
    <row r="8" customFormat="false" ht="15" hidden="false" customHeight="false" outlineLevel="0" collapsed="false">
      <c r="A8" s="7" t="s">
        <v>379</v>
      </c>
      <c r="C8" s="27" t="n">
        <f aca="false">Supuestos!$C$44*((1+Supuestos!$E$81)^1-1)</f>
        <v>139860</v>
      </c>
      <c r="D8" s="27" t="n">
        <f aca="false">Supuestos!$C$44*((1+Supuestos!$E$81)^2-1)</f>
        <v>318880.8</v>
      </c>
      <c r="E8" s="27" t="n">
        <f aca="false">Supuestos!$C$44*((1+Supuestos!$E$81)^3-1)</f>
        <v>548027.424</v>
      </c>
      <c r="F8" s="27" t="n">
        <f aca="false">Supuestos!$C$44*((1+Supuestos!$E$81)^4-1)</f>
        <v>841335.10272</v>
      </c>
      <c r="G8" s="27" t="n">
        <f aca="false">Supuestos!$C$44*((1+Supuestos!$E$81)^5-1)</f>
        <v>1216768.9314816</v>
      </c>
      <c r="I8" s="39" t="s">
        <v>10</v>
      </c>
      <c r="J8" s="41" t="n">
        <f aca="false">SUMPRODUCT($B$60:$G$60,(1+J$4)^(-$B$5:$G$5))</f>
        <v>5266527.57716049</v>
      </c>
      <c r="K8" s="41" t="n">
        <f aca="false">SUMPRODUCT($B$60:$G$60,(1+K$4)^(-$B$5:$G$5))</f>
        <v>3614030.99016141</v>
      </c>
      <c r="L8" s="41" t="n">
        <f aca="false">SUMPRODUCT($B$60:$G$60,(1+L$4)^(-$B$5:$G$5))</f>
        <v>2538600.06782888</v>
      </c>
      <c r="M8" s="41" t="n">
        <f aca="false">SUMPRODUCT($B$60:$G$60,(1+M$4)^(-$B$5:$G$5))</f>
        <v>1814934.24691358</v>
      </c>
      <c r="N8" s="41" t="n">
        <f aca="false">SUMPRODUCT($B$60:$G$60,(1+N$4)^(-$B$5:$G$5))</f>
        <v>1313710.17578125</v>
      </c>
      <c r="O8" s="41" t="n">
        <f aca="false">SUMPRODUCT($B$60:$G$60,(1+O$4)^(-$B$5:$G$5))</f>
        <v>957702.392304296</v>
      </c>
      <c r="P8" s="41" t="n">
        <f aca="false">SUMPRODUCT($B$60:$G$60,(1+P$4)^(-$B$5:$G$5))</f>
        <v>699179.572727735</v>
      </c>
      <c r="Q8" s="41" t="n">
        <f aca="false">SUMPRODUCT($B$60:$G$60,(1+Q$4)^(-$B$5:$G$5))</f>
        <v>507732.956166131</v>
      </c>
      <c r="R8" s="41" t="n">
        <f aca="false">SUMPRODUCT($B$60:$G$60,(1+R$4)^(-$B$5:$G$5))</f>
        <v>363462.75</v>
      </c>
      <c r="S8" s="41" t="n">
        <f aca="false">SUMPRODUCT($B$60:$G$60,(1+S$4)^(-$B$5:$G$5))</f>
        <v>253030.753066587</v>
      </c>
      <c r="T8" s="41" t="n">
        <f aca="false">SUMPRODUCT($B$60:$G$60,(1+T$4)^(-$B$5:$G$5))</f>
        <v>167302.539195658</v>
      </c>
      <c r="U8" s="41" t="n">
        <f aca="false">SUMPRODUCT($B$60:$G$60,(1+U$4)^(-$B$5:$G$5))</f>
        <v>99900.0059241716</v>
      </c>
      <c r="V8" s="41" t="n">
        <f aca="false">SUMPRODUCT($B$60:$G$60,(1+V$4)^(-$B$5:$G$5))</f>
        <v>46290.5825617284</v>
      </c>
      <c r="W8" s="41" t="n">
        <f aca="false">SUMPRODUCT($B$60:$G$60,(1+W$4)^(-$B$5:$G$5))</f>
        <v>3201.15904000001</v>
      </c>
      <c r="X8" s="41" t="n">
        <f aca="false">SUMPRODUCT($B$60:$G$60,(1+X$4)^(-$B$5:$G$5))</f>
        <v>-31766.7963306607</v>
      </c>
      <c r="Y8" s="41" t="n">
        <f aca="false">SUMPRODUCT($B$60:$G$60,(1+Y$4)^(-$B$5:$G$5))</f>
        <v>-60394.7469845613</v>
      </c>
      <c r="Z8" s="41" t="n">
        <f aca="false">SUMPRODUCT($B$60:$G$60,(1+Z$4)^(-$B$5:$G$5))</f>
        <v>-84022.3492443624</v>
      </c>
      <c r="AA8" s="41" t="n">
        <f aca="false">SUMPRODUCT($B$60:$G$60,(1+AA$4)^(-$B$5:$G$5))</f>
        <v>-103668.628274798</v>
      </c>
      <c r="AB8" s="41" t="n">
        <f aca="false">SUMPRODUCT($B$60:$G$60,(1+AB$4)^(-$B$5:$G$5))</f>
        <v>-120116.987654321</v>
      </c>
      <c r="AC8" s="41" t="n">
        <f aca="false">SUMPRODUCT($B$60:$G$60,(1+AC$4)^(-$B$5:$G$5))</f>
        <v>-133975.6567762</v>
      </c>
      <c r="AD8" s="41" t="n">
        <f aca="false">SUMPRODUCT($B$60:$G$60,(1+AD$4)^(-$B$5:$G$5))</f>
        <v>-145721.215209961</v>
      </c>
      <c r="AF8" s="41" t="n">
        <f aca="false">B60*B6</f>
        <v>-220000</v>
      </c>
      <c r="AG8" s="41" t="n">
        <f aca="false">C60*C6+AF8</f>
        <v>-264899.568965517</v>
      </c>
      <c r="AH8" s="41" t="n">
        <f aca="false">D60*D6+AG8</f>
        <v>-229382.141795482</v>
      </c>
      <c r="AI8" s="41" t="n">
        <f aca="false">E60*E6+AH8</f>
        <v>-133656.35353028</v>
      </c>
      <c r="AJ8" s="41" t="n">
        <f aca="false">F60*F6+AI8</f>
        <v>-38293.3542414542</v>
      </c>
      <c r="AK8" s="41" t="n">
        <f aca="false">G60*G6+AJ8</f>
        <v>88194.6383376062</v>
      </c>
      <c r="AM8" s="42" t="str">
        <f aca="false">IF(AND(AF8&lt;0,AG8&gt;=0),0+(-AF8)/(C60*C6),"")</f>
        <v/>
      </c>
      <c r="AN8" s="42" t="str">
        <f aca="false">IF(AND(AG8&lt;0,AH8&gt;=0),1+(-AG8)/(D60*D6),"")</f>
        <v/>
      </c>
      <c r="AO8" s="42" t="str">
        <f aca="false">IF(AND(AH8&lt;0,AI8&gt;=0),2+(-AH8)/(E60*E6),"")</f>
        <v/>
      </c>
      <c r="AP8" s="42" t="str">
        <f aca="false">IF(AND(AI8&lt;0,AJ8&gt;=0),3+(-AI8)/(F60*F6),"")</f>
        <v/>
      </c>
      <c r="AQ8" s="42" t="n">
        <f aca="false">IF(AND(AJ8&lt;0,AK8&gt;=0),4+(-AJ8)/(G60*G6),"")</f>
        <v>4.30274299924176</v>
      </c>
    </row>
    <row r="9" customFormat="false" ht="15" hidden="false" customHeight="false" outlineLevel="0" collapsed="false">
      <c r="A9" s="7" t="s">
        <v>380</v>
      </c>
      <c r="C9" s="27" t="n">
        <f aca="false">Costos_Margenes!$D$24+C8/Supuestos!$C$31+C10/Supuestos!$C$35</f>
        <v>12230.2112515101</v>
      </c>
      <c r="D9" s="27" t="n">
        <f aca="false">Costos_Margenes!$D$24+D8/Supuestos!$C$31+D10/Supuestos!$C$35</f>
        <v>14211.0888301172</v>
      </c>
      <c r="E9" s="27" t="n">
        <f aca="false">Costos_Margenes!$D$24+E8/Supuestos!$C$31+E10/Supuestos!$C$35</f>
        <v>16493.9292039051</v>
      </c>
      <c r="F9" s="27" t="n">
        <f aca="false">Costos_Margenes!$D$24+F8/Supuestos!$C$31+F10/Supuestos!$C$35</f>
        <v>18260.842931134</v>
      </c>
      <c r="G9" s="27" t="n">
        <f aca="false">Costos_Margenes!$D$24+G8/Supuestos!$C$31+G10/Supuestos!$C$35</f>
        <v>20522.492501987</v>
      </c>
      <c r="I9" s="39" t="s">
        <v>381</v>
      </c>
      <c r="J9" s="41" t="n">
        <f aca="false">SUMPRODUCT($B$61:$G$61,(1+J$4)^(-$B$5:$G$5))</f>
        <v>16753550.9438086</v>
      </c>
      <c r="K9" s="41" t="n">
        <f aca="false">SUMPRODUCT($B$61:$G$61,(1+K$4)^(-$B$5:$G$5))</f>
        <v>11515532.6988823</v>
      </c>
      <c r="L9" s="41" t="n">
        <f aca="false">SUMPRODUCT($B$61:$G$61,(1+L$4)^(-$B$5:$G$5))</f>
        <v>8126351.66682528</v>
      </c>
      <c r="M9" s="41" t="n">
        <f aca="false">SUMPRODUCT($B$61:$G$61,(1+M$4)^(-$B$5:$G$5))</f>
        <v>5858157.83902092</v>
      </c>
      <c r="N9" s="41" t="n">
        <f aca="false">SUMPRODUCT($B$61:$G$61,(1+N$4)^(-$B$5:$G$5))</f>
        <v>4295144.66322991</v>
      </c>
      <c r="O9" s="41" t="n">
        <f aca="false">SUMPRODUCT($B$61:$G$61,(1+O$4)^(-$B$5:$G$5))</f>
        <v>3190173.46612755</v>
      </c>
      <c r="P9" s="41" t="n">
        <f aca="false">SUMPRODUCT($B$61:$G$61,(1+P$4)^(-$B$5:$G$5))</f>
        <v>2391194.65915259</v>
      </c>
      <c r="Q9" s="41" t="n">
        <f aca="false">SUMPRODUCT($B$61:$G$61,(1+Q$4)^(-$B$5:$G$5))</f>
        <v>1801775.97717592</v>
      </c>
      <c r="R9" s="41" t="n">
        <f aca="false">SUMPRODUCT($B$61:$G$61,(1+R$4)^(-$B$5:$G$5))</f>
        <v>1359088.62734266</v>
      </c>
      <c r="S9" s="41" t="n">
        <f aca="false">SUMPRODUCT($B$61:$G$61,(1+S$4)^(-$B$5:$G$5))</f>
        <v>1021200.88517875</v>
      </c>
      <c r="T9" s="41" t="n">
        <f aca="false">SUMPRODUCT($B$61:$G$61,(1+T$4)^(-$B$5:$G$5))</f>
        <v>759516.131243445</v>
      </c>
      <c r="U9" s="41" t="n">
        <f aca="false">SUMPRODUCT($B$61:$G$61,(1+U$4)^(-$B$5:$G$5))</f>
        <v>554147.368620988</v>
      </c>
      <c r="V9" s="41" t="n">
        <f aca="false">SUMPRODUCT($B$61:$G$61,(1+V$4)^(-$B$5:$G$5))</f>
        <v>391017.071942272</v>
      </c>
      <c r="W9" s="41" t="n">
        <f aca="false">SUMPRODUCT($B$61:$G$61,(1+W$4)^(-$B$5:$G$5))</f>
        <v>259997.578034054</v>
      </c>
      <c r="X9" s="41" t="n">
        <f aca="false">SUMPRODUCT($B$61:$G$61,(1+X$4)^(-$B$5:$G$5))</f>
        <v>153694.080482756</v>
      </c>
      <c r="Y9" s="41" t="n">
        <f aca="false">SUMPRODUCT($B$61:$G$61,(1+Y$4)^(-$B$5:$G$5))</f>
        <v>66633.1508153085</v>
      </c>
      <c r="Z9" s="41" t="n">
        <f aca="false">SUMPRODUCT($B$61:$G$61,(1+Z$4)^(-$B$5:$G$5))</f>
        <v>-5287.70572923444</v>
      </c>
      <c r="AA9" s="41" t="n">
        <f aca="false">SUMPRODUCT($B$61:$G$61,(1+AA$4)^(-$B$5:$G$5))</f>
        <v>-65179.3800349959</v>
      </c>
      <c r="AB9" s="41" t="n">
        <f aca="false">SUMPRODUCT($B$61:$G$61,(1+AB$4)^(-$B$5:$G$5))</f>
        <v>-115426.418504981</v>
      </c>
      <c r="AC9" s="41" t="n">
        <f aca="false">SUMPRODUCT($B$61:$G$61,(1+AC$4)^(-$B$5:$G$5))</f>
        <v>-157875.047307502</v>
      </c>
      <c r="AD9" s="41" t="n">
        <f aca="false">SUMPRODUCT($B$61:$G$61,(1+AD$4)^(-$B$5:$G$5))</f>
        <v>-193968.141391631</v>
      </c>
      <c r="AF9" s="41" t="n">
        <f aca="false">B61*B6</f>
        <v>-480000</v>
      </c>
      <c r="AG9" s="41" t="n">
        <f aca="false">C61*C6+AF9</f>
        <v>-494032.862450559</v>
      </c>
      <c r="AH9" s="41" t="n">
        <f aca="false">D61*D6+AG9</f>
        <v>-385756.102534065</v>
      </c>
      <c r="AI9" s="41" t="n">
        <f aca="false">E61*E6+AH9</f>
        <v>-171058.848035068</v>
      </c>
      <c r="AJ9" s="41" t="n">
        <f aca="false">F61*F6+AI9</f>
        <v>83647.7489696373</v>
      </c>
      <c r="AK9" s="41" t="n">
        <f aca="false">G61*G6+AJ9</f>
        <v>518513.981703651</v>
      </c>
      <c r="AM9" s="42" t="str">
        <f aca="false">IF(AND(AF9&lt;0,AG9&gt;=0),0+(-AF9)/(C61*C6),"")</f>
        <v/>
      </c>
      <c r="AN9" s="42" t="str">
        <f aca="false">IF(AND(AG9&lt;0,AH9&gt;=0),1+(-AG9)/(D61*D6),"")</f>
        <v/>
      </c>
      <c r="AO9" s="42" t="str">
        <f aca="false">IF(AND(AH9&lt;0,AI9&gt;=0),2+(-AH9)/(E61*E6),"")</f>
        <v/>
      </c>
      <c r="AP9" s="42" t="n">
        <f aca="false">IF(AND(AI9&lt;0,AJ9&gt;=0),3+(-AI9)/(F61*F6),"")</f>
        <v>3.67159174535204</v>
      </c>
      <c r="AQ9" s="42" t="str">
        <f aca="false">IF(AND(AJ9&lt;0,AK9&gt;=0),4+(-AJ9)/(G61*G6),"")</f>
        <v/>
      </c>
    </row>
    <row r="10" customFormat="false" ht="15" hidden="false" customHeight="false" outlineLevel="0" collapsed="false">
      <c r="A10" s="7" t="s">
        <v>382</v>
      </c>
      <c r="C10" s="27" t="n">
        <f aca="false">Supuestos!$C$45*Supuestos!$E$82*MIN(1/3,1)</f>
        <v>92500</v>
      </c>
      <c r="D10" s="27" t="n">
        <f aca="false">Supuestos!$C$45*Supuestos!$E$82*MIN(2/3,1)</f>
        <v>185000</v>
      </c>
      <c r="E10" s="27" t="n">
        <f aca="false">Supuestos!$C$45*Supuestos!$E$82*MIN(3/3,1)</f>
        <v>277500</v>
      </c>
      <c r="F10" s="27" t="n">
        <f aca="false">Supuestos!$C$45*Supuestos!$E$82*MIN(4/3,1)</f>
        <v>277500</v>
      </c>
      <c r="G10" s="27" t="n">
        <f aca="false">Supuestos!$C$45*Supuestos!$E$82*MIN(5/3,1)</f>
        <v>277500</v>
      </c>
      <c r="I10" s="39" t="s">
        <v>383</v>
      </c>
      <c r="J10" s="41" t="n">
        <f aca="false">SUMPRODUCT($B$70:$G$70,(1+J$4)^(-$B$5:$G$5))</f>
        <v>15610734.4157008</v>
      </c>
      <c r="K10" s="41" t="n">
        <f aca="false">SUMPRODUCT($B$70:$G$70,(1+K$4)^(-$B$5:$G$5))</f>
        <v>10646838.3164487</v>
      </c>
      <c r="L10" s="41" t="n">
        <f aca="false">SUMPRODUCT($B$70:$G$70,(1+L$4)^(-$B$5:$G$5))</f>
        <v>7466061.57201166</v>
      </c>
      <c r="M10" s="41" t="n">
        <f aca="false">SUMPRODUCT($B$70:$G$70,(1+M$4)^(-$B$5:$G$5))</f>
        <v>5359831.81044122</v>
      </c>
      <c r="N10" s="41" t="n">
        <f aca="false">SUMPRODUCT($B$70:$G$70,(1+N$4)^(-$B$5:$G$5))</f>
        <v>3925104.49304673</v>
      </c>
      <c r="O10" s="41" t="n">
        <f aca="false">SUMPRODUCT($B$70:$G$70,(1+O$4)^(-$B$5:$G$5))</f>
        <v>2923440.59578153</v>
      </c>
      <c r="P10" s="41" t="n">
        <f aca="false">SUMPRODUCT($B$70:$G$70,(1+P$4)^(-$B$5:$G$5))</f>
        <v>2208874.26970204</v>
      </c>
      <c r="Q10" s="41" t="n">
        <f aca="false">SUMPRODUCT($B$70:$G$70,(1+Q$4)^(-$B$5:$G$5))</f>
        <v>1689324.26484657</v>
      </c>
      <c r="R10" s="41" t="n">
        <f aca="false">SUMPRODUCT($B$70:$G$70,(1+R$4)^(-$B$5:$G$5))</f>
        <v>1305136.13449461</v>
      </c>
      <c r="S10" s="41" t="n">
        <f aca="false">SUMPRODUCT($B$70:$G$70,(1+S$4)^(-$B$5:$G$5))</f>
        <v>1016735.5515185</v>
      </c>
      <c r="T10" s="41" t="n">
        <f aca="false">SUMPRODUCT($B$70:$G$70,(1+T$4)^(-$B$5:$G$5))</f>
        <v>797304.745856838</v>
      </c>
      <c r="U10" s="41" t="n">
        <f aca="false">SUMPRODUCT($B$70:$G$70,(1+U$4)^(-$B$5:$G$5))</f>
        <v>628318.481262433</v>
      </c>
      <c r="V10" s="41" t="n">
        <f aca="false">SUMPRODUCT($B$70:$G$70,(1+V$4)^(-$B$5:$G$5))</f>
        <v>496755.412674884</v>
      </c>
      <c r="W10" s="41" t="n">
        <f aca="false">SUMPRODUCT($B$70:$G$70,(1+W$4)^(-$B$5:$G$5))</f>
        <v>393316.864609473</v>
      </c>
      <c r="X10" s="41" t="n">
        <f aca="false">SUMPRODUCT($B$70:$G$70,(1+X$4)^(-$B$5:$G$5))</f>
        <v>311265.827118415</v>
      </c>
      <c r="Y10" s="41" t="n">
        <f aca="false">SUMPRODUCT($B$70:$G$70,(1+Y$4)^(-$B$5:$G$5))</f>
        <v>245656.080280831</v>
      </c>
      <c r="Z10" s="41" t="n">
        <f aca="false">SUMPRODUCT($B$70:$G$70,(1+Z$4)^(-$B$5:$G$5))</f>
        <v>192811.590833518</v>
      </c>
      <c r="AA10" s="41" t="n">
        <f aca="false">SUMPRODUCT($B$70:$G$70,(1+AA$4)^(-$B$5:$G$5))</f>
        <v>149969.389135341</v>
      </c>
      <c r="AB10" s="41" t="n">
        <f aca="false">SUMPRODUCT($B$70:$G$70,(1+AB$4)^(-$B$5:$G$5))</f>
        <v>115031.027425361</v>
      </c>
      <c r="AC10" s="41" t="n">
        <f aca="false">SUMPRODUCT($B$70:$G$70,(1+AC$4)^(-$B$5:$G$5))</f>
        <v>86387.2763680134</v>
      </c>
      <c r="AD10" s="41" t="n">
        <f aca="false">SUMPRODUCT($B$70:$G$70,(1+AD$4)^(-$B$5:$G$5))</f>
        <v>62792.932362929</v>
      </c>
      <c r="AF10" s="41" t="n">
        <f aca="false">B70*B6</f>
        <v>0</v>
      </c>
      <c r="AG10" s="41" t="n">
        <f aca="false">C70*C6+AF10</f>
        <v>-165323.041887567</v>
      </c>
      <c r="AH10" s="41" t="n">
        <f aca="false">D70*D6+AG10</f>
        <v>-189155.180534379</v>
      </c>
      <c r="AI10" s="41" t="n">
        <f aca="false">E70*E6+AH10</f>
        <v>-90218.4576751116</v>
      </c>
      <c r="AJ10" s="41" t="n">
        <f aca="false">F70*F6+AI10</f>
        <v>164488.139329594</v>
      </c>
      <c r="AK10" s="41" t="n">
        <f aca="false">G70*G6+AJ10</f>
        <v>599354.372063608</v>
      </c>
      <c r="AM10" s="42" t="str">
        <f aca="false">IF(AND(AF10&lt;0,AG10&gt;=0),0+(-AF10)/(C70*C6),"")</f>
        <v/>
      </c>
      <c r="AN10" s="42" t="str">
        <f aca="false">IF(AND(AG10&lt;0,AH10&gt;=0),1+(-AG10)/(D70*D6),"")</f>
        <v/>
      </c>
      <c r="AO10" s="42" t="str">
        <f aca="false">IF(AND(AH10&lt;0,AI10&gt;=0),2+(-AH10)/(E70*E6),"")</f>
        <v/>
      </c>
      <c r="AP10" s="42" t="n">
        <f aca="false">IF(AND(AI10&lt;0,AJ10&gt;=0),3+(-AI10)/(F70*F6),"")</f>
        <v>3.35420542198773</v>
      </c>
      <c r="AQ10" s="42" t="str">
        <f aca="false">IF(AND(AJ10&lt;0,AK10&gt;=0),4+(-AJ10)/(G70*G6),"")</f>
        <v/>
      </c>
    </row>
    <row r="11" customFormat="false" ht="15" hidden="false" customHeight="false" outlineLevel="0" collapsed="false">
      <c r="A11" s="7" t="s">
        <v>384</v>
      </c>
      <c r="C11" s="27" t="n">
        <f aca="false">C8*Costos_Margenes!$J$16</f>
        <v>66576.7301204819</v>
      </c>
      <c r="D11" s="27" t="n">
        <f aca="false">D8*Costos_Margenes!$J$16</f>
        <v>151794.944674699</v>
      </c>
      <c r="E11" s="27" t="n">
        <f aca="false">E8*Costos_Margenes!$J$16</f>
        <v>260874.259304097</v>
      </c>
      <c r="F11" s="27" t="n">
        <f aca="false">F8*Costos_Margenes!$J$16</f>
        <v>400495.782029725</v>
      </c>
      <c r="G11" s="27" t="n">
        <f aca="false">G8*Costos_Margenes!$J$16</f>
        <v>579211.331118531</v>
      </c>
      <c r="I11" s="39" t="s">
        <v>385</v>
      </c>
      <c r="J11" s="41" t="n">
        <f aca="false">SUMPRODUCT($B$76:$G$76,(1+J$4)^(-$B$5:$G$5))</f>
        <v>10867997.7472564</v>
      </c>
      <c r="K11" s="41" t="n">
        <f aca="false">SUMPRODUCT($B$76:$G$76,(1+K$4)^(-$B$5:$G$5))</f>
        <v>7430958.91823601</v>
      </c>
      <c r="L11" s="41" t="n">
        <f aca="false">SUMPRODUCT($B$76:$G$76,(1+L$4)^(-$B$5:$G$5))</f>
        <v>5230094.46430569</v>
      </c>
      <c r="M11" s="41" t="n">
        <f aca="false">SUMPRODUCT($B$76:$G$76,(1+M$4)^(-$B$5:$G$5))</f>
        <v>3773296.99329333</v>
      </c>
      <c r="N11" s="41" t="n">
        <f aca="false">SUMPRODUCT($B$76:$G$76,(1+N$4)^(-$B$5:$G$5))</f>
        <v>2780996.06193277</v>
      </c>
      <c r="O11" s="41" t="n">
        <f aca="false">SUMPRODUCT($B$76:$G$76,(1+O$4)^(-$B$5:$G$5))</f>
        <v>2087990.76905249</v>
      </c>
      <c r="P11" s="41" t="n">
        <f aca="false">SUMPRODUCT($B$76:$G$76,(1+P$4)^(-$B$5:$G$5))</f>
        <v>1593258.20880581</v>
      </c>
      <c r="Q11" s="41" t="n">
        <f aca="false">SUMPRODUCT($B$76:$G$76,(1+Q$4)^(-$B$5:$G$5))</f>
        <v>1233131.67683139</v>
      </c>
      <c r="R11" s="41" t="n">
        <f aca="false">SUMPRODUCT($B$76:$G$76,(1+R$4)^(-$B$5:$G$5))</f>
        <v>966401.6103833</v>
      </c>
      <c r="S11" s="41" t="n">
        <f aca="false">SUMPRODUCT($B$76:$G$76,(1+S$4)^(-$B$5:$G$5))</f>
        <v>765751.409712861</v>
      </c>
      <c r="T11" s="41" t="n">
        <f aca="false">SUMPRODUCT($B$76:$G$76,(1+T$4)^(-$B$5:$G$5))</f>
        <v>612682.424963374</v>
      </c>
      <c r="U11" s="41" t="n">
        <f aca="false">SUMPRODUCT($B$76:$G$76,(1+U$4)^(-$B$5:$G$5))</f>
        <v>494423.382044266</v>
      </c>
      <c r="V11" s="41" t="n">
        <f aca="false">SUMPRODUCT($B$76:$G$76,(1+V$4)^(-$B$5:$G$5))</f>
        <v>402001.423944042</v>
      </c>
      <c r="W11" s="41" t="n">
        <f aca="false">SUMPRODUCT($B$76:$G$76,(1+W$4)^(-$B$5:$G$5))</f>
        <v>329011.032555739</v>
      </c>
      <c r="X11" s="41" t="n">
        <f aca="false">SUMPRODUCT($B$76:$G$76,(1+X$4)^(-$B$5:$G$5))</f>
        <v>270812.239574399</v>
      </c>
      <c r="Y11" s="41" t="n">
        <f aca="false">SUMPRODUCT($B$76:$G$76,(1+Y$4)^(-$B$5:$G$5))</f>
        <v>223998.651260361</v>
      </c>
      <c r="Z11" s="41" t="n">
        <f aca="false">SUMPRODUCT($B$76:$G$76,(1+Z$4)^(-$B$5:$G$5))</f>
        <v>186038.429153286</v>
      </c>
      <c r="AA11" s="41" t="n">
        <f aca="false">SUMPRODUCT($B$76:$G$76,(1+AA$4)^(-$B$5:$G$5))</f>
        <v>155028.164873735</v>
      </c>
      <c r="AB11" s="41" t="n">
        <f aca="false">SUMPRODUCT($B$76:$G$76,(1+AB$4)^(-$B$5:$G$5))</f>
        <v>129521.685694942</v>
      </c>
      <c r="AC11" s="41" t="n">
        <f aca="false">SUMPRODUCT($B$76:$G$76,(1+AC$4)^(-$B$5:$G$5))</f>
        <v>108409.368126269</v>
      </c>
      <c r="AD11" s="41" t="n">
        <f aca="false">SUMPRODUCT($B$76:$G$76,(1+AD$4)^(-$B$5:$G$5))</f>
        <v>90831.9887687164</v>
      </c>
      <c r="AF11" s="41" t="n">
        <f aca="false">B76*B6</f>
        <v>0</v>
      </c>
      <c r="AG11" s="41" t="n">
        <f aca="false">C76*C6+AF11</f>
        <v>-51082.1406800878</v>
      </c>
      <c r="AH11" s="41" t="n">
        <f aca="false">D76*D6+AG11</f>
        <v>-49881.7946554202</v>
      </c>
      <c r="AI11" s="41" t="n">
        <f aca="false">E76*E6+AH11</f>
        <v>6386.05027352156</v>
      </c>
      <c r="AJ11" s="41" t="n">
        <f aca="false">F76*F6+AI11</f>
        <v>165729.647989401</v>
      </c>
      <c r="AK11" s="41" t="n">
        <f aca="false">G76*G6+AJ11</f>
        <v>474107.888144355</v>
      </c>
      <c r="AM11" s="42" t="str">
        <f aca="false">IF(AND(AF11&lt;0,AG11&gt;=0),0+(-AF11)/(C76*C6),"")</f>
        <v/>
      </c>
      <c r="AN11" s="42" t="str">
        <f aca="false">IF(AND(AG11&lt;0,AH11&gt;=0),1+(-AG11)/(D76*D6),"")</f>
        <v/>
      </c>
      <c r="AO11" s="42" t="n">
        <f aca="false">IF(AND(AH11&lt;0,AI11&gt;=0),2+(-AH11)/(E76*E6),"")</f>
        <v>2.88650622248664</v>
      </c>
      <c r="AP11" s="42" t="str">
        <f aca="false">IF(AND(AI11&lt;0,AJ11&gt;=0),3+(-AI11)/(F76*F6),"")</f>
        <v/>
      </c>
      <c r="AQ11" s="42" t="str">
        <f aca="false">IF(AND(AJ11&lt;0,AK11&gt;=0),4+(-AJ11)/(G76*G6),"")</f>
        <v/>
      </c>
    </row>
    <row r="12" customFormat="false" ht="15" hidden="false" customHeight="false" outlineLevel="0" collapsed="false">
      <c r="A12" s="7" t="s">
        <v>386</v>
      </c>
      <c r="C12" s="27" t="n">
        <f aca="false">C10*Costos_Margenes!$J$17</f>
        <v>29329.2682926829</v>
      </c>
      <c r="D12" s="27" t="n">
        <f aca="false">D10*Costos_Margenes!$J$17</f>
        <v>58658.5365853659</v>
      </c>
      <c r="E12" s="27" t="n">
        <f aca="false">E10*Costos_Margenes!$J$17</f>
        <v>87987.8048780488</v>
      </c>
      <c r="F12" s="27" t="n">
        <f aca="false">F10*Costos_Margenes!$J$17</f>
        <v>87987.8048780488</v>
      </c>
      <c r="G12" s="27" t="n">
        <f aca="false">G10*Costos_Margenes!$J$17</f>
        <v>87987.8048780488</v>
      </c>
      <c r="I12" s="39" t="s">
        <v>387</v>
      </c>
      <c r="J12" s="41" t="n">
        <f aca="false">SUMPRODUCT($B$27:$G$27,(1+J$4)^(-$B$5:$G$5))</f>
        <v>15149392.1828602</v>
      </c>
      <c r="K12" s="41" t="n">
        <f aca="false">SUMPRODUCT($B$27:$G$27,(1+K$4)^(-$B$5:$G$5))</f>
        <v>10471462.3380437</v>
      </c>
      <c r="L12" s="41" t="n">
        <f aca="false">SUMPRODUCT($B$27:$G$27,(1+L$4)^(-$B$5:$G$5))</f>
        <v>7446509.85175776</v>
      </c>
      <c r="M12" s="41" t="n">
        <f aca="false">SUMPRODUCT($B$27:$G$27,(1+M$4)^(-$B$5:$G$5))</f>
        <v>5423115.76463478</v>
      </c>
      <c r="N12" s="41" t="n">
        <f aca="false">SUMPRODUCT($B$27:$G$27,(1+N$4)^(-$B$5:$G$5))</f>
        <v>4029364.50021752</v>
      </c>
      <c r="O12" s="41" t="n">
        <f aca="false">SUMPRODUCT($B$27:$G$27,(1+O$4)^(-$B$5:$G$5))</f>
        <v>3044338.53872039</v>
      </c>
      <c r="P12" s="41" t="n">
        <f aca="false">SUMPRODUCT($B$27:$G$27,(1+P$4)^(-$B$5:$G$5))</f>
        <v>2332201.88533809</v>
      </c>
      <c r="Q12" s="41" t="n">
        <f aca="false">SUMPRODUCT($B$27:$G$27,(1+Q$4)^(-$B$5:$G$5))</f>
        <v>1806855.60719435</v>
      </c>
      <c r="R12" s="41" t="n">
        <f aca="false">SUMPRODUCT($B$27:$G$27,(1+R$4)^(-$B$5:$G$5))</f>
        <v>1412235.28701086</v>
      </c>
      <c r="S12" s="41" t="n">
        <f aca="false">SUMPRODUCT($B$27:$G$27,(1+S$4)^(-$B$5:$G$5))</f>
        <v>1110944.19042433</v>
      </c>
      <c r="T12" s="41" t="n">
        <f aca="false">SUMPRODUCT($B$27:$G$27,(1+T$4)^(-$B$5:$G$5))</f>
        <v>877491.787600681</v>
      </c>
      <c r="U12" s="41" t="n">
        <f aca="false">SUMPRODUCT($B$27:$G$27,(1+U$4)^(-$B$5:$G$5))</f>
        <v>694159.900559789</v>
      </c>
      <c r="V12" s="41" t="n">
        <f aca="false">SUMPRODUCT($B$27:$G$27,(1+V$4)^(-$B$5:$G$5))</f>
        <v>548412.041255419</v>
      </c>
      <c r="W12" s="41" t="n">
        <f aca="false">SUMPRODUCT($B$27:$G$27,(1+W$4)^(-$B$5:$G$5))</f>
        <v>431233.036879305</v>
      </c>
      <c r="X12" s="41" t="n">
        <f aca="false">SUMPRODUCT($B$27:$G$27,(1+X$4)^(-$B$5:$G$5))</f>
        <v>336042.91951885</v>
      </c>
      <c r="Y12" s="41" t="n">
        <f aca="false">SUMPRODUCT($B$27:$G$27,(1+Y$4)^(-$B$5:$G$5))</f>
        <v>257973.058500402</v>
      </c>
      <c r="Z12" s="41" t="n">
        <f aca="false">SUMPRODUCT($B$27:$G$27,(1+Z$4)^(-$B$5:$G$5))</f>
        <v>193375.365470024</v>
      </c>
      <c r="AA12" s="41" t="n">
        <f aca="false">SUMPRODUCT($B$27:$G$27,(1+AA$4)^(-$B$5:$G$5))</f>
        <v>139484.219154115</v>
      </c>
      <c r="AB12" s="41" t="n">
        <f aca="false">SUMPRODUCT($B$27:$G$27,(1+AB$4)^(-$B$5:$G$5))</f>
        <v>94180.1552553213</v>
      </c>
      <c r="AC12" s="41" t="n">
        <f aca="false">SUMPRODUCT($B$27:$G$27,(1+AC$4)^(-$B$5:$G$5))</f>
        <v>55822.4312824567</v>
      </c>
      <c r="AD12" s="41" t="n">
        <f aca="false">SUMPRODUCT($B$27:$G$27,(1+AD$4)^(-$B$5:$G$5))</f>
        <v>23128.8845111915</v>
      </c>
      <c r="AF12" s="41" t="n">
        <f aca="false">B27*B7</f>
        <v>-260000</v>
      </c>
      <c r="AG12" s="41" t="n">
        <f aca="false">C27*C7+AF12</f>
        <v>-228155.630569536</v>
      </c>
      <c r="AH12" s="41" t="n">
        <f aca="false">D27*D7+AG12</f>
        <v>-138022.440113106</v>
      </c>
      <c r="AI12" s="41" t="n">
        <f aca="false">E27*E7+AH12</f>
        <v>5529.95854639993</v>
      </c>
      <c r="AJ12" s="41" t="n">
        <f aca="false">F27*F7+AI12</f>
        <v>186355.60781184</v>
      </c>
      <c r="AK12" s="41" t="n">
        <f aca="false">G27*G7+AJ12</f>
        <v>482168.486659827</v>
      </c>
      <c r="AM12" s="42" t="str">
        <f aca="false">IF(AND(AF12&lt;0,AG12&gt;=0),0+(-AF12)/(C27*C7),"")</f>
        <v/>
      </c>
      <c r="AN12" s="42" t="str">
        <f aca="false">IF(AND(AG12&lt;0,AH12&gt;=0),1+(-AG12)/(D27*D7),"")</f>
        <v/>
      </c>
      <c r="AO12" s="42" t="n">
        <f aca="false">IF(AND(AH12&lt;0,AI12&gt;=0),2+(-AH12)/(E27*E7),"")</f>
        <v>2.96147776980365</v>
      </c>
      <c r="AP12" s="42" t="str">
        <f aca="false">IF(AND(AI12&lt;0,AJ12&gt;=0),3+(-AI12)/(F27*F7),"")</f>
        <v/>
      </c>
      <c r="AQ12" s="42" t="str">
        <f aca="false">IF(AND(AJ12&lt;0,AK12&gt;=0),4+(-AJ12)/(G27*G7),"")</f>
        <v/>
      </c>
    </row>
    <row r="13" customFormat="false" ht="15" hidden="false" customHeight="false" outlineLevel="0" collapsed="false">
      <c r="A13" s="7" t="s">
        <v>388</v>
      </c>
      <c r="C13" s="27" t="n">
        <f aca="false">C9*(Supuestos!$C$58+Supuestos!$C$59)</f>
        <v>15165.4619518725</v>
      </c>
      <c r="D13" s="27" t="n">
        <f aca="false">D9*(Supuestos!$C$58+Supuestos!$C$59)</f>
        <v>17621.7501493454</v>
      </c>
      <c r="E13" s="27" t="n">
        <f aca="false">E9*(Supuestos!$C$58+Supuestos!$C$59)</f>
        <v>20452.4722128423</v>
      </c>
      <c r="F13" s="27" t="n">
        <f aca="false">F9*(Supuestos!$C$58+Supuestos!$C$59)</f>
        <v>22643.4452346061</v>
      </c>
      <c r="G13" s="27" t="n">
        <f aca="false">G9*(Supuestos!$C$58+Supuestos!$C$59)</f>
        <v>25447.8907024639</v>
      </c>
      <c r="I13" s="39" t="s">
        <v>389</v>
      </c>
      <c r="J13" s="41" t="n">
        <f aca="false">SUMPRODUCT($B$62:$G$62,(1+J$4)^(-$B$5:$G$5))</f>
        <v>21814444.651996</v>
      </c>
      <c r="K13" s="41" t="n">
        <f aca="false">SUMPRODUCT($B$62:$G$62,(1+K$4)^(-$B$5:$G$5))</f>
        <v>15071485.0586444</v>
      </c>
      <c r="L13" s="41" t="n">
        <f aca="false">SUMPRODUCT($B$62:$G$62,(1+L$4)^(-$B$5:$G$5))</f>
        <v>10699687.5753253</v>
      </c>
      <c r="M13" s="41" t="n">
        <f aca="false">SUMPRODUCT($B$62:$G$62,(1+M$4)^(-$B$5:$G$5))</f>
        <v>7768113.29549897</v>
      </c>
      <c r="N13" s="41" t="n">
        <f aca="false">SUMPRODUCT($B$62:$G$62,(1+N$4)^(-$B$5:$G$5))</f>
        <v>5744114.50021752</v>
      </c>
      <c r="O13" s="41" t="n">
        <f aca="false">SUMPRODUCT($B$62:$G$62,(1+O$4)^(-$B$5:$G$5))</f>
        <v>4310624.36609597</v>
      </c>
      <c r="P13" s="41" t="n">
        <f aca="false">SUMPRODUCT($B$62:$G$62,(1+P$4)^(-$B$5:$G$5))</f>
        <v>3272277.38195954</v>
      </c>
      <c r="Q13" s="41" t="n">
        <f aca="false">SUMPRODUCT($B$62:$G$62,(1+Q$4)^(-$B$5:$G$5))</f>
        <v>2504986.02766623</v>
      </c>
      <c r="R13" s="41" t="n">
        <f aca="false">SUMPRODUCT($B$62:$G$62,(1+R$4)^(-$B$5:$G$5))</f>
        <v>1927785.28701086</v>
      </c>
      <c r="S13" s="41" t="n">
        <f aca="false">SUMPRODUCT($B$62:$G$62,(1+S$4)^(-$B$5:$G$5))</f>
        <v>1486561.91290475</v>
      </c>
      <c r="T13" s="41" t="n">
        <f aca="false">SUMPRODUCT($B$62:$G$62,(1+T$4)^(-$B$5:$G$5))</f>
        <v>1144359.78593661</v>
      </c>
      <c r="U13" s="41" t="n">
        <f aca="false">SUMPRODUCT($B$62:$G$62,(1+U$4)^(-$B$5:$G$5))</f>
        <v>875442.985690584</v>
      </c>
      <c r="V13" s="41" t="n">
        <f aca="false">SUMPRODUCT($B$62:$G$62,(1+V$4)^(-$B$5:$G$5))</f>
        <v>661569.062860357</v>
      </c>
      <c r="W13" s="41" t="n">
        <f aca="false">SUMPRODUCT($B$62:$G$62,(1+W$4)^(-$B$5:$G$5))</f>
        <v>489596.684879305</v>
      </c>
      <c r="X13" s="41" t="n">
        <f aca="false">SUMPRODUCT($B$62:$G$62,(1+X$4)^(-$B$5:$G$5))</f>
        <v>349918.209384266</v>
      </c>
      <c r="Y13" s="41" t="n">
        <f aca="false">SUMPRODUCT($B$62:$G$62,(1+Y$4)^(-$B$5:$G$5))</f>
        <v>235413.383118856</v>
      </c>
      <c r="Z13" s="41" t="n">
        <f aca="false">SUMPRODUCT($B$62:$G$62,(1+Z$4)^(-$B$5:$G$5))</f>
        <v>140738.830097857</v>
      </c>
      <c r="AA13" s="41" t="n">
        <f aca="false">SUMPRODUCT($B$62:$G$62,(1+AA$4)^(-$B$5:$G$5))</f>
        <v>61837.8813502209</v>
      </c>
      <c r="AB13" s="41" t="n">
        <f aca="false">SUMPRODUCT($B$62:$G$62,(1+AB$4)^(-$B$5:$G$5))</f>
        <v>-4402.56079406141</v>
      </c>
      <c r="AC13" s="41" t="n">
        <f aca="false">SUMPRODUCT($B$62:$G$62,(1+AC$4)^(-$B$5:$G$5))</f>
        <v>-60395.5049043342</v>
      </c>
      <c r="AD13" s="41" t="n">
        <f aca="false">SUMPRODUCT($B$62:$G$62,(1+AD$4)^(-$B$5:$G$5))</f>
        <v>-108028.830332558</v>
      </c>
      <c r="AF13" s="41" t="n">
        <f aca="false">B62*B7</f>
        <v>-480000</v>
      </c>
      <c r="AG13" s="41" t="n">
        <f aca="false">C62*C7+AF13</f>
        <v>-514335.977390345</v>
      </c>
      <c r="AH13" s="41" t="n">
        <f aca="false">D62*D7+AG13</f>
        <v>-383549.333761407</v>
      </c>
      <c r="AI13" s="41" t="n">
        <f aca="false">E62*E7+AH13</f>
        <v>-128820.24615772</v>
      </c>
      <c r="AJ13" s="41" t="n">
        <f aca="false">F62*F7+AI13</f>
        <v>152876.853206656</v>
      </c>
      <c r="AK13" s="41" t="n">
        <f aca="false">G62*G7+AJ13</f>
        <v>564349.172721539</v>
      </c>
      <c r="AM13" s="42" t="str">
        <f aca="false">IF(AND(AF13&lt;0,AG13&gt;=0),0+(-AF13)/(C62*C7),"")</f>
        <v/>
      </c>
      <c r="AN13" s="42" t="str">
        <f aca="false">IF(AND(AG13&lt;0,AH13&gt;=0),1+(-AG13)/(D62*D7),"")</f>
        <v/>
      </c>
      <c r="AO13" s="42" t="str">
        <f aca="false">IF(AND(AH13&lt;0,AI13&gt;=0),2+(-AH13)/(E62*E7),"")</f>
        <v/>
      </c>
      <c r="AP13" s="42" t="n">
        <f aca="false">IF(AND(AI13&lt;0,AJ13&gt;=0),3+(-AI13)/(F62*F7),"")</f>
        <v>3.45730057728103</v>
      </c>
      <c r="AQ13" s="42" t="str">
        <f aca="false">IF(AND(AJ13&lt;0,AK13&gt;=0),4+(-AJ13)/(G62*G7),"")</f>
        <v/>
      </c>
    </row>
    <row r="14" customFormat="false" ht="15" hidden="false" customHeight="false" outlineLevel="0" collapsed="false">
      <c r="A14" s="7" t="s">
        <v>390</v>
      </c>
      <c r="C14" s="27" t="n">
        <f aca="false">-Supuestos!$C$57</f>
        <v>-72000</v>
      </c>
      <c r="D14" s="27" t="n">
        <f aca="false">-Supuestos!$C$57</f>
        <v>-72000</v>
      </c>
      <c r="E14" s="27" t="n">
        <f aca="false">-Supuestos!$C$57</f>
        <v>-72000</v>
      </c>
      <c r="F14" s="27" t="n">
        <f aca="false">-Supuestos!$C$57</f>
        <v>-72000</v>
      </c>
      <c r="G14" s="27" t="n">
        <f aca="false">-Supuestos!$C$57</f>
        <v>-72000</v>
      </c>
    </row>
    <row r="15" customFormat="false" ht="15" hidden="false" customHeight="false" outlineLevel="0" collapsed="false">
      <c r="A15" s="4" t="s">
        <v>391</v>
      </c>
      <c r="C15" s="6" t="n">
        <f aca="false">SUM(C11:C14)</f>
        <v>39071.4603650374</v>
      </c>
      <c r="D15" s="6" t="n">
        <f aca="false">SUM(D11:D14)</f>
        <v>156075.23140941</v>
      </c>
      <c r="E15" s="6" t="n">
        <f aca="false">SUM(E11:E14)</f>
        <v>297314.536394988</v>
      </c>
      <c r="F15" s="6" t="n">
        <f aca="false">SUM(F11:F14)</f>
        <v>439127.03214238</v>
      </c>
      <c r="G15" s="6" t="n">
        <f aca="false">SUM(G11:G14)</f>
        <v>620647.026699043</v>
      </c>
    </row>
    <row r="16" customFormat="false" ht="15" hidden="false" customHeight="false" outlineLevel="0" collapsed="false">
      <c r="A16" s="7" t="s">
        <v>392</v>
      </c>
      <c r="C16" s="27" t="n">
        <f aca="false">-(Supuestos!$C$52*Supuestos!$C$55+Supuestos!$C$53*Supuestos!$C$56)</f>
        <v>-28000</v>
      </c>
      <c r="D16" s="27" t="n">
        <f aca="false">-(Supuestos!$C$52*Supuestos!$C$55+Supuestos!$C$53*Supuestos!$C$56)</f>
        <v>-28000</v>
      </c>
      <c r="E16" s="27" t="n">
        <f aca="false">-(Supuestos!$C$52*Supuestos!$C$55+Supuestos!$C$53*Supuestos!$C$56)</f>
        <v>-28000</v>
      </c>
      <c r="F16" s="27" t="n">
        <f aca="false">-(Supuestos!$C$52*Supuestos!$C$55+Supuestos!$C$53*Supuestos!$C$56)</f>
        <v>-28000</v>
      </c>
      <c r="G16" s="27" t="n">
        <f aca="false">-(Supuestos!$C$52*Supuestos!$C$55+Supuestos!$C$53*Supuestos!$C$56)</f>
        <v>-28000</v>
      </c>
    </row>
    <row r="17" customFormat="false" ht="15" hidden="false" customHeight="false" outlineLevel="0" collapsed="false">
      <c r="A17" s="7" t="s">
        <v>393</v>
      </c>
      <c r="C17" s="27" t="n">
        <f aca="false">C15+C16</f>
        <v>11071.4603650374</v>
      </c>
      <c r="D17" s="27" t="n">
        <f aca="false">D15+D16</f>
        <v>128075.23140941</v>
      </c>
      <c r="E17" s="27" t="n">
        <f aca="false">E15+E16</f>
        <v>269314.536394988</v>
      </c>
      <c r="F17" s="27" t="n">
        <f aca="false">F15+F16</f>
        <v>411127.03214238</v>
      </c>
      <c r="G17" s="27" t="n">
        <f aca="false">G15+G16</f>
        <v>592647.026699043</v>
      </c>
    </row>
    <row r="18" customFormat="false" ht="15" hidden="false" customHeight="false" outlineLevel="0" collapsed="false">
      <c r="A18" s="7" t="s">
        <v>394</v>
      </c>
      <c r="C18" s="27" t="n">
        <f aca="false">-C17*Supuestos!$C$7</f>
        <v>-3266.08080768603</v>
      </c>
      <c r="D18" s="27" t="n">
        <f aca="false">-D17*Supuestos!$C$7</f>
        <v>-37782.193265776</v>
      </c>
      <c r="E18" s="27" t="n">
        <f aca="false">-E17*Supuestos!$C$7</f>
        <v>-79447.7882365213</v>
      </c>
      <c r="F18" s="27" t="n">
        <f aca="false">-F17*Supuestos!$C$7</f>
        <v>-121282.474482002</v>
      </c>
      <c r="G18" s="27" t="n">
        <f aca="false">-G17*Supuestos!$C$7</f>
        <v>-174830.872876218</v>
      </c>
    </row>
    <row r="19" customFormat="false" ht="15" hidden="false" customHeight="false" outlineLevel="0" collapsed="false">
      <c r="A19" s="7" t="s">
        <v>395</v>
      </c>
      <c r="C19" s="27" t="n">
        <f aca="false">C17+C18</f>
        <v>7805.37955735136</v>
      </c>
      <c r="D19" s="27" t="n">
        <f aca="false">D17+D18</f>
        <v>90293.0381436341</v>
      </c>
      <c r="E19" s="27" t="n">
        <f aca="false">E17+E18</f>
        <v>189866.748158466</v>
      </c>
      <c r="F19" s="27" t="n">
        <f aca="false">F17+F18</f>
        <v>289844.557660378</v>
      </c>
      <c r="G19" s="27" t="n">
        <f aca="false">G17+G18</f>
        <v>417816.153822826</v>
      </c>
    </row>
    <row r="20" customFormat="false" ht="15" hidden="false" customHeight="false" outlineLevel="0" collapsed="false">
      <c r="A20" s="7" t="s">
        <v>396</v>
      </c>
      <c r="C20" s="27" t="n">
        <f aca="false">-C16</f>
        <v>28000</v>
      </c>
      <c r="D20" s="27" t="n">
        <f aca="false">-D16</f>
        <v>28000</v>
      </c>
      <c r="E20" s="27" t="n">
        <f aca="false">-E16</f>
        <v>28000</v>
      </c>
      <c r="F20" s="27" t="n">
        <f aca="false">-F16</f>
        <v>28000</v>
      </c>
      <c r="G20" s="27" t="n">
        <f aca="false">-G16</f>
        <v>28000</v>
      </c>
    </row>
    <row r="21" customFormat="false" ht="15" hidden="false" customHeight="false" outlineLevel="0" collapsed="false">
      <c r="A21" s="7" t="s">
        <v>397</v>
      </c>
      <c r="B21" s="27" t="n">
        <f aca="false">-(Supuestos!$C$52+Supuestos!$C$53)</f>
        <v>-230000</v>
      </c>
    </row>
    <row r="22" customFormat="false" ht="15" hidden="false" customHeight="false" outlineLevel="0" collapsed="false">
      <c r="A22" s="7" t="s">
        <v>398</v>
      </c>
      <c r="B22" s="27" t="n">
        <f aca="false">Supuestos!$C$54</f>
        <v>30000</v>
      </c>
      <c r="C22" s="27" t="n">
        <f aca="false">MAX(Supuestos!$C$54,(C8+C10)*Supuestos!$C$9)</f>
        <v>30000</v>
      </c>
      <c r="D22" s="27" t="n">
        <f aca="false">MAX(Supuestos!$C$54,(D8+D10)*Supuestos!$C$9)</f>
        <v>50388.08</v>
      </c>
      <c r="E22" s="27" t="n">
        <f aca="false">MAX(Supuestos!$C$54,(E8+E10)*Supuestos!$C$9)</f>
        <v>82552.7424</v>
      </c>
      <c r="F22" s="27" t="n">
        <f aca="false">MAX(Supuestos!$C$54,(F8+F10)*Supuestos!$C$9)</f>
        <v>111883.510272</v>
      </c>
      <c r="G22" s="27" t="n">
        <f aca="false">MAX(Supuestos!$C$54,(G8+G10)*Supuestos!$C$9)</f>
        <v>149426.89314816</v>
      </c>
    </row>
    <row r="23" customFormat="false" ht="15" hidden="false" customHeight="false" outlineLevel="0" collapsed="false">
      <c r="A23" s="7" t="s">
        <v>399</v>
      </c>
      <c r="B23" s="27" t="n">
        <f aca="false">-B22</f>
        <v>-30000</v>
      </c>
      <c r="C23" s="27" t="n">
        <f aca="false">-(C22-B22)</f>
        <v>-0</v>
      </c>
      <c r="D23" s="27" t="n">
        <f aca="false">-(D22-C22)</f>
        <v>-20388.08</v>
      </c>
      <c r="E23" s="27" t="n">
        <f aca="false">-(E22-D22)</f>
        <v>-32164.6624</v>
      </c>
      <c r="F23" s="27" t="n">
        <f aca="false">-(F22-E22)</f>
        <v>-29330.767872</v>
      </c>
      <c r="G23" s="27" t="n">
        <f aca="false">-(G22-F22)</f>
        <v>-37543.38287616</v>
      </c>
    </row>
    <row r="24" customFormat="false" ht="15" hidden="false" customHeight="false" outlineLevel="0" collapsed="false">
      <c r="A24" s="7" t="s">
        <v>400</v>
      </c>
      <c r="G24" s="27" t="n">
        <f aca="false">G22</f>
        <v>149426.89314816</v>
      </c>
    </row>
    <row r="25" customFormat="false" ht="15" hidden="false" customHeight="false" outlineLevel="0" collapsed="false">
      <c r="A25" s="7" t="s">
        <v>401</v>
      </c>
      <c r="G25" s="27" t="n">
        <f aca="false">Supuestos!$C$52*(1-5*Supuestos!$C$55)</f>
        <v>90000</v>
      </c>
    </row>
    <row r="26" customFormat="false" ht="15" hidden="false" customHeight="false" outlineLevel="0" collapsed="false">
      <c r="A26" s="43" t="s">
        <v>402</v>
      </c>
      <c r="B26" s="44" t="n">
        <f aca="false">SUM(B19:B25)-B22</f>
        <v>-260000</v>
      </c>
      <c r="C26" s="44" t="n">
        <f aca="false">SUM(C19:C25)-C22</f>
        <v>35805.3795573514</v>
      </c>
      <c r="D26" s="44" t="n">
        <f aca="false">SUM(D19:D25)-D22</f>
        <v>97904.9581436341</v>
      </c>
      <c r="E26" s="44" t="n">
        <f aca="false">SUM(E19:E25)-E22</f>
        <v>185702.085758466</v>
      </c>
      <c r="F26" s="44" t="n">
        <f aca="false">SUM(F19:F25)-F22</f>
        <v>288513.789788378</v>
      </c>
      <c r="G26" s="44" t="n">
        <f aca="false">SUM(G19:G25)-G22</f>
        <v>647699.664094826</v>
      </c>
    </row>
    <row r="27" customFormat="false" ht="15" hidden="false" customHeight="false" outlineLevel="0" collapsed="false">
      <c r="A27" s="7" t="s">
        <v>403</v>
      </c>
      <c r="B27" s="27" t="n">
        <f aca="false">B26</f>
        <v>-260000</v>
      </c>
      <c r="C27" s="27" t="n">
        <f aca="false">C26-C18</f>
        <v>39071.4603650374</v>
      </c>
      <c r="D27" s="27" t="n">
        <f aca="false">D26-D18</f>
        <v>135687.15140941</v>
      </c>
      <c r="E27" s="27" t="n">
        <f aca="false">E26-E18</f>
        <v>265149.873994988</v>
      </c>
      <c r="F27" s="27" t="n">
        <f aca="false">F26-F18</f>
        <v>409796.26427038</v>
      </c>
      <c r="G27" s="27" t="n">
        <f aca="false">G26-G18</f>
        <v>822530.536971043</v>
      </c>
    </row>
    <row r="29" customFormat="false" ht="15" hidden="false" customHeight="false" outlineLevel="0" collapsed="false">
      <c r="A29" s="17" t="s">
        <v>404</v>
      </c>
      <c r="B29" s="18"/>
      <c r="C29" s="18"/>
      <c r="D29" s="18"/>
      <c r="E29" s="18"/>
      <c r="F29" s="18"/>
      <c r="G29" s="18"/>
    </row>
    <row r="30" customFormat="false" ht="15" hidden="false" customHeight="false" outlineLevel="0" collapsed="false">
      <c r="A30" s="7" t="s">
        <v>405</v>
      </c>
      <c r="C30" s="27" t="n">
        <f aca="false">Supuestos!$E$83*Supuestos!F$71</f>
        <v>275000</v>
      </c>
      <c r="D30" s="27" t="n">
        <f aca="false">Supuestos!$E$83*Supuestos!G$71</f>
        <v>412500</v>
      </c>
      <c r="E30" s="27" t="n">
        <f aca="false">Supuestos!$E$83*Supuestos!H$71</f>
        <v>550000</v>
      </c>
      <c r="F30" s="27" t="n">
        <f aca="false">Supuestos!$E$83*Supuestos!I$71</f>
        <v>550000</v>
      </c>
      <c r="G30" s="27" t="n">
        <f aca="false">Supuestos!$E$83*Supuestos!J$71</f>
        <v>550000</v>
      </c>
    </row>
    <row r="31" customFormat="false" ht="15" hidden="false" customHeight="false" outlineLevel="0" collapsed="false">
      <c r="A31" s="7" t="s">
        <v>406</v>
      </c>
      <c r="C31" s="27" t="n">
        <f aca="false">C30*Supuestos!$C$68</f>
        <v>170500</v>
      </c>
      <c r="D31" s="27" t="n">
        <f aca="false">D30*Supuestos!$C$68</f>
        <v>255750</v>
      </c>
      <c r="E31" s="27" t="n">
        <f aca="false">E30*Supuestos!$C$68</f>
        <v>341000</v>
      </c>
      <c r="F31" s="27" t="n">
        <f aca="false">F30*Supuestos!$C$68</f>
        <v>341000</v>
      </c>
      <c r="G31" s="27" t="n">
        <f aca="false">G30*Supuestos!$C$68</f>
        <v>341000</v>
      </c>
    </row>
    <row r="32" customFormat="false" ht="15" hidden="false" customHeight="false" outlineLevel="0" collapsed="false">
      <c r="A32" s="7" t="s">
        <v>407</v>
      </c>
      <c r="C32" s="27" t="n">
        <f aca="false">-Supuestos!$C$69</f>
        <v>-216000</v>
      </c>
      <c r="D32" s="27" t="n">
        <f aca="false">-Supuestos!$C$69</f>
        <v>-216000</v>
      </c>
      <c r="E32" s="27" t="n">
        <f aca="false">-Supuestos!$C$69</f>
        <v>-216000</v>
      </c>
      <c r="F32" s="27" t="n">
        <f aca="false">-Supuestos!$C$69</f>
        <v>-216000</v>
      </c>
      <c r="G32" s="27" t="n">
        <f aca="false">-Supuestos!$C$69</f>
        <v>-216000</v>
      </c>
    </row>
    <row r="33" customFormat="false" ht="15" hidden="false" customHeight="false" outlineLevel="0" collapsed="false">
      <c r="A33" s="7" t="s">
        <v>408</v>
      </c>
      <c r="C33" s="27" t="n">
        <f aca="false">-Supuestos!$C$62*Supuestos!$C$67</f>
        <v>-23000</v>
      </c>
      <c r="D33" s="27" t="n">
        <f aca="false">-Supuestos!$C$62*Supuestos!$C$67</f>
        <v>-23000</v>
      </c>
      <c r="E33" s="27" t="n">
        <f aca="false">-Supuestos!$C$62*Supuestos!$C$67</f>
        <v>-23000</v>
      </c>
      <c r="F33" s="27" t="n">
        <f aca="false">-Supuestos!$C$62*Supuestos!$C$67</f>
        <v>-23000</v>
      </c>
      <c r="G33" s="27" t="n">
        <f aca="false">-Supuestos!$C$62*Supuestos!$C$67</f>
        <v>-23000</v>
      </c>
    </row>
    <row r="34" customFormat="false" ht="15" hidden="false" customHeight="false" outlineLevel="0" collapsed="false">
      <c r="A34" s="7" t="s">
        <v>393</v>
      </c>
      <c r="C34" s="27" t="n">
        <f aca="false">SUM(C31:C33)</f>
        <v>-68500</v>
      </c>
      <c r="D34" s="27" t="n">
        <f aca="false">SUM(D31:D33)</f>
        <v>16750</v>
      </c>
      <c r="E34" s="27" t="n">
        <f aca="false">SUM(E31:E33)</f>
        <v>102000</v>
      </c>
      <c r="F34" s="27" t="n">
        <f aca="false">SUM(F31:F33)</f>
        <v>102000</v>
      </c>
      <c r="G34" s="27" t="n">
        <f aca="false">SUM(G31:G33)</f>
        <v>102000</v>
      </c>
    </row>
    <row r="35" customFormat="false" ht="15" hidden="false" customHeight="false" outlineLevel="0" collapsed="false">
      <c r="A35" s="7" t="s">
        <v>394</v>
      </c>
      <c r="C35" s="27" t="n">
        <f aca="false">-C34*Supuestos!$C$7</f>
        <v>20207.5</v>
      </c>
      <c r="D35" s="27" t="n">
        <f aca="false">-D34*Supuestos!$C$7</f>
        <v>-4941.25</v>
      </c>
      <c r="E35" s="27" t="n">
        <f aca="false">-E34*Supuestos!$C$7</f>
        <v>-30090</v>
      </c>
      <c r="F35" s="27" t="n">
        <f aca="false">-F34*Supuestos!$C$7</f>
        <v>-30090</v>
      </c>
      <c r="G35" s="27" t="n">
        <f aca="false">-G34*Supuestos!$C$7</f>
        <v>-30090</v>
      </c>
    </row>
    <row r="36" customFormat="false" ht="15" hidden="false" customHeight="false" outlineLevel="0" collapsed="false">
      <c r="A36" s="7" t="s">
        <v>395</v>
      </c>
      <c r="C36" s="27" t="n">
        <f aca="false">C34+C35</f>
        <v>-48292.5</v>
      </c>
      <c r="D36" s="27" t="n">
        <f aca="false">D34+D35</f>
        <v>11808.75</v>
      </c>
      <c r="E36" s="27" t="n">
        <f aca="false">E34+E35</f>
        <v>71910</v>
      </c>
      <c r="F36" s="27" t="n">
        <f aca="false">F34+F35</f>
        <v>71910</v>
      </c>
      <c r="G36" s="27" t="n">
        <f aca="false">G34+G35</f>
        <v>71910</v>
      </c>
    </row>
    <row r="37" customFormat="false" ht="15" hidden="false" customHeight="false" outlineLevel="0" collapsed="false">
      <c r="A37" s="7" t="s">
        <v>396</v>
      </c>
      <c r="C37" s="27" t="n">
        <f aca="false">-C33</f>
        <v>23000</v>
      </c>
      <c r="D37" s="27" t="n">
        <f aca="false">-D33</f>
        <v>23000</v>
      </c>
      <c r="E37" s="27" t="n">
        <f aca="false">-E33</f>
        <v>23000</v>
      </c>
      <c r="F37" s="27" t="n">
        <f aca="false">-F33</f>
        <v>23000</v>
      </c>
      <c r="G37" s="27" t="n">
        <f aca="false">-G33</f>
        <v>23000</v>
      </c>
    </row>
    <row r="38" customFormat="false" ht="15" hidden="false" customHeight="false" outlineLevel="0" collapsed="false">
      <c r="A38" s="7" t="s">
        <v>409</v>
      </c>
      <c r="B38" s="27" t="n">
        <f aca="false">-Supuestos!$C$62</f>
        <v>-115000</v>
      </c>
    </row>
    <row r="39" customFormat="false" ht="15" hidden="false" customHeight="false" outlineLevel="0" collapsed="false">
      <c r="A39" s="7" t="s">
        <v>398</v>
      </c>
      <c r="B39" s="27" t="n">
        <f aca="false">Supuestos!$C$64</f>
        <v>15000</v>
      </c>
      <c r="C39" s="27" t="n">
        <f aca="false">MAX(Supuestos!$C$64,C30*Supuestos!$C$9)</f>
        <v>27500</v>
      </c>
      <c r="D39" s="27" t="n">
        <f aca="false">MAX(Supuestos!$C$64,D30*Supuestos!$C$9)</f>
        <v>41250</v>
      </c>
      <c r="E39" s="27" t="n">
        <f aca="false">MAX(Supuestos!$C$64,E30*Supuestos!$C$9)</f>
        <v>55000</v>
      </c>
      <c r="F39" s="27" t="n">
        <f aca="false">MAX(Supuestos!$C$64,F30*Supuestos!$C$9)</f>
        <v>55000</v>
      </c>
      <c r="G39" s="27" t="n">
        <f aca="false">MAX(Supuestos!$C$64,G30*Supuestos!$C$9)</f>
        <v>55000</v>
      </c>
    </row>
    <row r="40" customFormat="false" ht="15" hidden="false" customHeight="false" outlineLevel="0" collapsed="false">
      <c r="A40" s="7" t="s">
        <v>399</v>
      </c>
      <c r="B40" s="27" t="n">
        <f aca="false">-B39</f>
        <v>-15000</v>
      </c>
      <c r="C40" s="27" t="n">
        <f aca="false">-(C39-B39)</f>
        <v>-12500</v>
      </c>
      <c r="D40" s="27" t="n">
        <f aca="false">-(D39-C39)</f>
        <v>-13750</v>
      </c>
      <c r="E40" s="27" t="n">
        <f aca="false">-(E39-D39)</f>
        <v>-13750</v>
      </c>
      <c r="F40" s="27" t="n">
        <f aca="false">-(F39-E39)</f>
        <v>-0</v>
      </c>
      <c r="G40" s="27" t="n">
        <f aca="false">-(G39-F39)</f>
        <v>-0</v>
      </c>
    </row>
    <row r="41" customFormat="false" ht="15" hidden="false" customHeight="false" outlineLevel="0" collapsed="false">
      <c r="A41" s="7" t="s">
        <v>400</v>
      </c>
      <c r="G41" s="27" t="n">
        <f aca="false">G39</f>
        <v>55000</v>
      </c>
    </row>
    <row r="42" customFormat="false" ht="15" hidden="false" customHeight="false" outlineLevel="0" collapsed="false">
      <c r="A42" s="43" t="s">
        <v>410</v>
      </c>
      <c r="B42" s="44" t="n">
        <f aca="false">SUM(B36:B41)-B39</f>
        <v>-130000</v>
      </c>
      <c r="C42" s="44" t="n">
        <f aca="false">SUM(C36:C41)-C39</f>
        <v>-37792.5</v>
      </c>
      <c r="D42" s="44" t="n">
        <f aca="false">SUM(D36:D41)-D39</f>
        <v>21058.75</v>
      </c>
      <c r="E42" s="44" t="n">
        <f aca="false">SUM(E36:E41)-E39</f>
        <v>81160</v>
      </c>
      <c r="F42" s="44" t="n">
        <f aca="false">SUM(F36:F41)-F39</f>
        <v>94910</v>
      </c>
      <c r="G42" s="44" t="n">
        <f aca="false">SUM(G36:G41)-G39</f>
        <v>149910</v>
      </c>
    </row>
    <row r="44" customFormat="false" ht="15" hidden="false" customHeight="false" outlineLevel="0" collapsed="false">
      <c r="A44" s="17" t="s">
        <v>411</v>
      </c>
      <c r="B44" s="18"/>
      <c r="C44" s="18"/>
      <c r="D44" s="18"/>
      <c r="E44" s="18"/>
      <c r="F44" s="18"/>
      <c r="G44" s="18"/>
    </row>
    <row r="45" customFormat="false" ht="15" hidden="false" customHeight="false" outlineLevel="0" collapsed="false">
      <c r="A45" s="7" t="s">
        <v>412</v>
      </c>
      <c r="C45" s="27" t="n">
        <f aca="false">Supuestos!$E$84*Supuestos!F$71</f>
        <v>190000</v>
      </c>
      <c r="D45" s="27" t="n">
        <f aca="false">Supuestos!$E$84*Supuestos!G$71</f>
        <v>285000</v>
      </c>
      <c r="E45" s="27" t="n">
        <f aca="false">Supuestos!$E$84*Supuestos!H$71</f>
        <v>380000</v>
      </c>
      <c r="F45" s="27" t="n">
        <f aca="false">Supuestos!$E$84*Supuestos!I$71</f>
        <v>380000</v>
      </c>
      <c r="G45" s="27" t="n">
        <f aca="false">Supuestos!$E$84*Supuestos!J$71</f>
        <v>380000</v>
      </c>
    </row>
    <row r="46" customFormat="false" ht="15" hidden="false" customHeight="false" outlineLevel="0" collapsed="false">
      <c r="A46" s="7" t="s">
        <v>406</v>
      </c>
      <c r="C46" s="27" t="n">
        <f aca="false">C45*Supuestos!$C$68</f>
        <v>117800</v>
      </c>
      <c r="D46" s="27" t="n">
        <f aca="false">D45*Supuestos!$C$68</f>
        <v>176700</v>
      </c>
      <c r="E46" s="27" t="n">
        <f aca="false">E45*Supuestos!$C$68</f>
        <v>235600</v>
      </c>
      <c r="F46" s="27" t="n">
        <f aca="false">F45*Supuestos!$C$68</f>
        <v>235600</v>
      </c>
      <c r="G46" s="27" t="n">
        <f aca="false">G45*Supuestos!$C$68</f>
        <v>235600</v>
      </c>
    </row>
    <row r="47" customFormat="false" ht="15" hidden="false" customHeight="false" outlineLevel="0" collapsed="false">
      <c r="A47" s="7" t="s">
        <v>407</v>
      </c>
      <c r="C47" s="27" t="n">
        <f aca="false">-Supuestos!$C$70</f>
        <v>-132000</v>
      </c>
      <c r="D47" s="27" t="n">
        <f aca="false">-Supuestos!$C$70</f>
        <v>-132000</v>
      </c>
      <c r="E47" s="27" t="n">
        <f aca="false">-Supuestos!$C$70</f>
        <v>-132000</v>
      </c>
      <c r="F47" s="27" t="n">
        <f aca="false">-Supuestos!$C$70</f>
        <v>-132000</v>
      </c>
      <c r="G47" s="27" t="n">
        <f aca="false">-Supuestos!$C$70</f>
        <v>-132000</v>
      </c>
    </row>
    <row r="48" customFormat="false" ht="15" hidden="false" customHeight="false" outlineLevel="0" collapsed="false">
      <c r="A48" s="7" t="s">
        <v>408</v>
      </c>
      <c r="C48" s="27" t="n">
        <f aca="false">-Supuestos!$C$63*Supuestos!$C$67</f>
        <v>-16000</v>
      </c>
      <c r="D48" s="27" t="n">
        <f aca="false">-Supuestos!$C$63*Supuestos!$C$67</f>
        <v>-16000</v>
      </c>
      <c r="E48" s="27" t="n">
        <f aca="false">-Supuestos!$C$63*Supuestos!$C$67</f>
        <v>-16000</v>
      </c>
      <c r="F48" s="27" t="n">
        <f aca="false">-Supuestos!$C$63*Supuestos!$C$67</f>
        <v>-16000</v>
      </c>
      <c r="G48" s="27" t="n">
        <f aca="false">-Supuestos!$C$63*Supuestos!$C$67</f>
        <v>-16000</v>
      </c>
    </row>
    <row r="49" customFormat="false" ht="15" hidden="false" customHeight="false" outlineLevel="0" collapsed="false">
      <c r="A49" s="7" t="s">
        <v>393</v>
      </c>
      <c r="C49" s="27" t="n">
        <f aca="false">SUM(C46:C48)</f>
        <v>-30200</v>
      </c>
      <c r="D49" s="27" t="n">
        <f aca="false">SUM(D46:D48)</f>
        <v>28700</v>
      </c>
      <c r="E49" s="27" t="n">
        <f aca="false">SUM(E46:E48)</f>
        <v>87600</v>
      </c>
      <c r="F49" s="27" t="n">
        <f aca="false">SUM(F46:F48)</f>
        <v>87600</v>
      </c>
      <c r="G49" s="27" t="n">
        <f aca="false">SUM(G46:G48)</f>
        <v>87600</v>
      </c>
    </row>
    <row r="50" customFormat="false" ht="15" hidden="false" customHeight="false" outlineLevel="0" collapsed="false">
      <c r="A50" s="7" t="s">
        <v>394</v>
      </c>
      <c r="C50" s="27" t="n">
        <f aca="false">-C49*Supuestos!$C$7</f>
        <v>8909</v>
      </c>
      <c r="D50" s="27" t="n">
        <f aca="false">-D49*Supuestos!$C$7</f>
        <v>-8466.5</v>
      </c>
      <c r="E50" s="27" t="n">
        <f aca="false">-E49*Supuestos!$C$7</f>
        <v>-25842</v>
      </c>
      <c r="F50" s="27" t="n">
        <f aca="false">-F49*Supuestos!$C$7</f>
        <v>-25842</v>
      </c>
      <c r="G50" s="27" t="n">
        <f aca="false">-G49*Supuestos!$C$7</f>
        <v>-25842</v>
      </c>
    </row>
    <row r="51" customFormat="false" ht="15" hidden="false" customHeight="false" outlineLevel="0" collapsed="false">
      <c r="A51" s="7" t="s">
        <v>395</v>
      </c>
      <c r="C51" s="27" t="n">
        <f aca="false">C49+C50</f>
        <v>-21291</v>
      </c>
      <c r="D51" s="27" t="n">
        <f aca="false">D49+D50</f>
        <v>20233.5</v>
      </c>
      <c r="E51" s="27" t="n">
        <f aca="false">E49+E50</f>
        <v>61758</v>
      </c>
      <c r="F51" s="27" t="n">
        <f aca="false">F49+F50</f>
        <v>61758</v>
      </c>
      <c r="G51" s="27" t="n">
        <f aca="false">G49+G50</f>
        <v>61758</v>
      </c>
    </row>
    <row r="52" customFormat="false" ht="15" hidden="false" customHeight="false" outlineLevel="0" collapsed="false">
      <c r="A52" s="7" t="s">
        <v>396</v>
      </c>
      <c r="C52" s="27" t="n">
        <f aca="false">-C48</f>
        <v>16000</v>
      </c>
      <c r="D52" s="27" t="n">
        <f aca="false">-D48</f>
        <v>16000</v>
      </c>
      <c r="E52" s="27" t="n">
        <f aca="false">-E48</f>
        <v>16000</v>
      </c>
      <c r="F52" s="27" t="n">
        <f aca="false">-F48</f>
        <v>16000</v>
      </c>
      <c r="G52" s="27" t="n">
        <f aca="false">-G48</f>
        <v>16000</v>
      </c>
    </row>
    <row r="53" customFormat="false" ht="15" hidden="false" customHeight="false" outlineLevel="0" collapsed="false">
      <c r="A53" s="7" t="s">
        <v>409</v>
      </c>
      <c r="B53" s="27" t="n">
        <f aca="false">-Supuestos!$C$63</f>
        <v>-80000</v>
      </c>
    </row>
    <row r="54" customFormat="false" ht="15" hidden="false" customHeight="false" outlineLevel="0" collapsed="false">
      <c r="A54" s="7" t="s">
        <v>398</v>
      </c>
      <c r="B54" s="27" t="n">
        <f aca="false">Supuestos!$C$65</f>
        <v>10000</v>
      </c>
      <c r="C54" s="27" t="n">
        <f aca="false">MAX(Supuestos!$C$65,C45*Supuestos!$C$9)</f>
        <v>19000</v>
      </c>
      <c r="D54" s="27" t="n">
        <f aca="false">MAX(Supuestos!$C$65,D45*Supuestos!$C$9)</f>
        <v>28500</v>
      </c>
      <c r="E54" s="27" t="n">
        <f aca="false">MAX(Supuestos!$C$65,E45*Supuestos!$C$9)</f>
        <v>38000</v>
      </c>
      <c r="F54" s="27" t="n">
        <f aca="false">MAX(Supuestos!$C$65,F45*Supuestos!$C$9)</f>
        <v>38000</v>
      </c>
      <c r="G54" s="27" t="n">
        <f aca="false">MAX(Supuestos!$C$65,G45*Supuestos!$C$9)</f>
        <v>38000</v>
      </c>
    </row>
    <row r="55" customFormat="false" ht="15" hidden="false" customHeight="false" outlineLevel="0" collapsed="false">
      <c r="A55" s="7" t="s">
        <v>399</v>
      </c>
      <c r="B55" s="27" t="n">
        <f aca="false">-B54</f>
        <v>-10000</v>
      </c>
      <c r="C55" s="27" t="n">
        <f aca="false">-(C54-B54)</f>
        <v>-9000</v>
      </c>
      <c r="D55" s="27" t="n">
        <f aca="false">-(D54-C54)</f>
        <v>-9500</v>
      </c>
      <c r="E55" s="27" t="n">
        <f aca="false">-(E54-D54)</f>
        <v>-9500</v>
      </c>
      <c r="F55" s="27" t="n">
        <f aca="false">-(F54-E54)</f>
        <v>-0</v>
      </c>
      <c r="G55" s="27" t="n">
        <f aca="false">-(G54-F54)</f>
        <v>-0</v>
      </c>
    </row>
    <row r="56" customFormat="false" ht="15" hidden="false" customHeight="false" outlineLevel="0" collapsed="false">
      <c r="A56" s="7" t="s">
        <v>400</v>
      </c>
      <c r="G56" s="27" t="n">
        <f aca="false">G54</f>
        <v>38000</v>
      </c>
    </row>
    <row r="57" customFormat="false" ht="15" hidden="false" customHeight="false" outlineLevel="0" collapsed="false">
      <c r="A57" s="43" t="s">
        <v>413</v>
      </c>
      <c r="B57" s="44" t="n">
        <f aca="false">SUM(B51:B56)-B54</f>
        <v>-90000</v>
      </c>
      <c r="C57" s="44" t="n">
        <f aca="false">SUM(C51:C56)-C54</f>
        <v>-14291</v>
      </c>
      <c r="D57" s="44" t="n">
        <f aca="false">SUM(D51:D56)-D54</f>
        <v>26733.5</v>
      </c>
      <c r="E57" s="44" t="n">
        <f aca="false">SUM(E51:E56)-E54</f>
        <v>68258</v>
      </c>
      <c r="F57" s="44" t="n">
        <f aca="false">SUM(F51:F56)-F54</f>
        <v>77758</v>
      </c>
      <c r="G57" s="44" t="n">
        <f aca="false">SUM(G51:G56)-G54</f>
        <v>115758</v>
      </c>
    </row>
    <row r="59" customFormat="false" ht="15" hidden="false" customHeight="false" outlineLevel="0" collapsed="false">
      <c r="A59" s="17" t="s">
        <v>414</v>
      </c>
      <c r="B59" s="18"/>
      <c r="C59" s="18"/>
      <c r="D59" s="18"/>
      <c r="E59" s="18"/>
      <c r="F59" s="18"/>
      <c r="G59" s="18"/>
    </row>
    <row r="60" customFormat="false" ht="15" hidden="false" customHeight="false" outlineLevel="0" collapsed="false">
      <c r="A60" s="4" t="s">
        <v>415</v>
      </c>
      <c r="B60" s="6" t="n">
        <f aca="false">B42+B57</f>
        <v>-220000</v>
      </c>
      <c r="C60" s="6" t="n">
        <f aca="false">C42+C57</f>
        <v>-52083.5</v>
      </c>
      <c r="D60" s="6" t="n">
        <f aca="false">D42+D57</f>
        <v>47792.25</v>
      </c>
      <c r="E60" s="6" t="n">
        <f aca="false">E42+E57</f>
        <v>149418</v>
      </c>
      <c r="F60" s="6" t="n">
        <f aca="false">F42+F57</f>
        <v>172668</v>
      </c>
      <c r="G60" s="6" t="n">
        <f aca="false">G42+G57</f>
        <v>265668</v>
      </c>
    </row>
    <row r="61" customFormat="false" ht="15" hidden="false" customHeight="false" outlineLevel="0" collapsed="false">
      <c r="A61" s="43" t="s">
        <v>416</v>
      </c>
      <c r="B61" s="44" t="n">
        <f aca="false">B26+B60</f>
        <v>-480000</v>
      </c>
      <c r="C61" s="44" t="n">
        <f aca="false">C26+C60</f>
        <v>-16278.1204426486</v>
      </c>
      <c r="D61" s="44" t="n">
        <f aca="false">D26+D60</f>
        <v>145697.208143634</v>
      </c>
      <c r="E61" s="44" t="n">
        <f aca="false">E26+E60</f>
        <v>335120.085758466</v>
      </c>
      <c r="F61" s="44" t="n">
        <f aca="false">F26+F60</f>
        <v>461181.789788378</v>
      </c>
      <c r="G61" s="44" t="n">
        <f aca="false">G26+G60</f>
        <v>913367.664094826</v>
      </c>
    </row>
    <row r="62" customFormat="false" ht="15" hidden="false" customHeight="false" outlineLevel="0" collapsed="false">
      <c r="A62" s="7" t="s">
        <v>417</v>
      </c>
      <c r="B62" s="27" t="n">
        <f aca="false">B61</f>
        <v>-480000</v>
      </c>
      <c r="C62" s="27" t="n">
        <f aca="false">C61-C18-C35-C50</f>
        <v>-42128.5396349626</v>
      </c>
      <c r="D62" s="27" t="n">
        <f aca="false">D61-D18-D35-D50</f>
        <v>196887.15140941</v>
      </c>
      <c r="E62" s="27" t="n">
        <f aca="false">E61-E18-E35-E50</f>
        <v>470499.873994988</v>
      </c>
      <c r="F62" s="27" t="n">
        <f aca="false">F61-F18-F35-F50</f>
        <v>638396.26427038</v>
      </c>
      <c r="G62" s="27" t="n">
        <f aca="false">G61-G18-G35-G50</f>
        <v>1144130.53697104</v>
      </c>
    </row>
    <row r="64" customFormat="false" ht="15" hidden="false" customHeight="false" outlineLevel="0" collapsed="false">
      <c r="A64" s="17" t="s">
        <v>418</v>
      </c>
      <c r="B64" s="18"/>
      <c r="C64" s="18"/>
      <c r="D64" s="18"/>
      <c r="E64" s="18"/>
      <c r="F64" s="18"/>
      <c r="G64" s="18"/>
    </row>
    <row r="65" customFormat="false" ht="15" hidden="false" customHeight="false" outlineLevel="0" collapsed="false">
      <c r="A65" s="7" t="s">
        <v>419</v>
      </c>
      <c r="B65" s="35" t="n">
        <f aca="false">1/(1+Supuestos!$C$8)^B5</f>
        <v>1</v>
      </c>
      <c r="C65" s="35" t="n">
        <f aca="false">1/(1+Supuestos!$C$8)^C5</f>
        <v>0.980392156862745</v>
      </c>
      <c r="D65" s="35" t="n">
        <f aca="false">1/(1+Supuestos!$C$8)^D5</f>
        <v>0.961168781237985</v>
      </c>
      <c r="E65" s="35" t="n">
        <f aca="false">1/(1+Supuestos!$C$8)^E5</f>
        <v>0.942322334547044</v>
      </c>
      <c r="F65" s="35" t="n">
        <f aca="false">1/(1+Supuestos!$C$8)^F5</f>
        <v>0.923845426026514</v>
      </c>
      <c r="G65" s="35" t="n">
        <f aca="false">1/(1+Supuestos!$C$8)^G5</f>
        <v>0.905730809829916</v>
      </c>
    </row>
    <row r="66" customFormat="false" ht="15" hidden="false" customHeight="false" outlineLevel="0" collapsed="false">
      <c r="A66" s="7" t="s">
        <v>420</v>
      </c>
      <c r="B66" s="5" t="n">
        <f aca="false">Supuestos!$C$74</f>
        <v>480000</v>
      </c>
    </row>
    <row r="67" customFormat="false" ht="15" hidden="false" customHeight="false" outlineLevel="0" collapsed="false">
      <c r="A67" s="7" t="s">
        <v>421</v>
      </c>
      <c r="C67" s="5" t="n">
        <f aca="false">-Prestamo!F44</f>
        <v>-195793.77939037</v>
      </c>
      <c r="D67" s="5" t="n">
        <f aca="false">-Prestamo!F45</f>
        <v>-195793.77939037</v>
      </c>
      <c r="E67" s="5" t="n">
        <f aca="false">-Prestamo!F46</f>
        <v>-195793.77939037</v>
      </c>
      <c r="F67" s="5" t="n">
        <f aca="false">-Prestamo!F47</f>
        <v>-0</v>
      </c>
      <c r="G67" s="5" t="n">
        <f aca="false">-Prestamo!F48</f>
        <v>-0</v>
      </c>
    </row>
    <row r="68" customFormat="false" ht="15" hidden="false" customHeight="false" outlineLevel="0" collapsed="false">
      <c r="A68" s="7" t="s">
        <v>422</v>
      </c>
      <c r="C68" s="27" t="n">
        <f aca="false">Prestamo!D44*Supuestos!$C$7</f>
        <v>16787.2390805023</v>
      </c>
      <c r="D68" s="27" t="n">
        <f aca="false">Prestamo!D45*Supuestos!$C$7</f>
        <v>10846.3098337521</v>
      </c>
      <c r="E68" s="27" t="n">
        <f aca="false">Prestamo!D46*Supuestos!$C$7</f>
        <v>4043.94584622305</v>
      </c>
      <c r="F68" s="27" t="n">
        <f aca="false">Prestamo!D47*Supuestos!$C$7</f>
        <v>0</v>
      </c>
      <c r="G68" s="27" t="n">
        <f aca="false">Prestamo!D48*Supuestos!$C$7</f>
        <v>0</v>
      </c>
    </row>
    <row r="69" customFormat="false" ht="15" hidden="false" customHeight="false" outlineLevel="0" collapsed="false">
      <c r="A69" s="7" t="s">
        <v>423</v>
      </c>
      <c r="C69" s="27" t="n">
        <f aca="false">(C67+C68)*C65</f>
        <v>-175496.608146929</v>
      </c>
      <c r="D69" s="27" t="n">
        <f aca="false">(D67+D68)*D65</f>
        <v>-177765.733906784</v>
      </c>
      <c r="E69" s="27" t="n">
        <f aca="false">(E67+E68)*E65</f>
        <v>-180690.150794328</v>
      </c>
      <c r="F69" s="27" t="n">
        <f aca="false">(F67+F68)*F65</f>
        <v>0</v>
      </c>
      <c r="G69" s="27" t="n">
        <f aca="false">(G67+G68)*G65</f>
        <v>0</v>
      </c>
    </row>
    <row r="70" customFormat="false" ht="15" hidden="false" customHeight="false" outlineLevel="0" collapsed="false">
      <c r="A70" s="43" t="s">
        <v>424</v>
      </c>
      <c r="B70" s="44" t="n">
        <f aca="false">B61+B66</f>
        <v>0</v>
      </c>
      <c r="C70" s="44" t="n">
        <f aca="false">C61+C69</f>
        <v>-191774.728589578</v>
      </c>
      <c r="D70" s="44" t="n">
        <f aca="false">D61+D69</f>
        <v>-32068.5257631498</v>
      </c>
      <c r="E70" s="44" t="n">
        <f aca="false">E61+E69</f>
        <v>154429.934964139</v>
      </c>
      <c r="F70" s="44" t="n">
        <f aca="false">F61+F69</f>
        <v>461181.789788378</v>
      </c>
      <c r="G70" s="44" t="n">
        <f aca="false">G61+G69</f>
        <v>913367.664094826</v>
      </c>
    </row>
    <row r="72" customFormat="false" ht="15" hidden="false" customHeight="false" outlineLevel="0" collapsed="false">
      <c r="A72" s="7" t="s">
        <v>425</v>
      </c>
      <c r="B72" s="5" t="n">
        <f aca="false">Supuestos!$C$75</f>
        <v>260000</v>
      </c>
    </row>
    <row r="73" customFormat="false" ht="15" hidden="false" customHeight="false" outlineLevel="0" collapsed="false">
      <c r="A73" s="7" t="s">
        <v>421</v>
      </c>
      <c r="C73" s="5" t="n">
        <f aca="false">-Prestamo!L44</f>
        <v>-106054.96383645</v>
      </c>
      <c r="D73" s="5" t="n">
        <f aca="false">-Prestamo!L45</f>
        <v>-106054.96383645</v>
      </c>
      <c r="E73" s="5" t="n">
        <f aca="false">-Prestamo!L46</f>
        <v>-106054.96383645</v>
      </c>
      <c r="F73" s="5" t="n">
        <f aca="false">-Prestamo!L47</f>
        <v>-0</v>
      </c>
      <c r="G73" s="5" t="n">
        <f aca="false">-Prestamo!L48</f>
        <v>-0</v>
      </c>
    </row>
    <row r="74" customFormat="false" ht="15" hidden="false" customHeight="false" outlineLevel="0" collapsed="false">
      <c r="A74" s="7" t="s">
        <v>422</v>
      </c>
      <c r="C74" s="27" t="n">
        <f aca="false">Prestamo!J44*Supuestos!$C$7</f>
        <v>9093.08783527208</v>
      </c>
      <c r="D74" s="27" t="n">
        <f aca="false">Prestamo!J45*Supuestos!$C$7</f>
        <v>5875.08449328237</v>
      </c>
      <c r="E74" s="27" t="n">
        <f aca="false">Prestamo!J46*Supuestos!$C$7</f>
        <v>2190.47066670415</v>
      </c>
      <c r="F74" s="27" t="n">
        <f aca="false">Prestamo!J47*Supuestos!$C$7</f>
        <v>0</v>
      </c>
      <c r="G74" s="27" t="n">
        <f aca="false">Prestamo!J48*Supuestos!$C$7</f>
        <v>0</v>
      </c>
    </row>
    <row r="75" customFormat="false" ht="15" hidden="false" customHeight="false" outlineLevel="0" collapsed="false">
      <c r="A75" s="7" t="s">
        <v>423</v>
      </c>
      <c r="C75" s="27" t="n">
        <f aca="false">(C73+C74)*C65</f>
        <v>-95060.6627462533</v>
      </c>
      <c r="D75" s="27" t="n">
        <f aca="false">(D73+D74)*D65</f>
        <v>-96289.7725328413</v>
      </c>
      <c r="E75" s="27" t="n">
        <f aca="false">(E73+E74)*E65</f>
        <v>-97873.8316802608</v>
      </c>
      <c r="F75" s="27" t="n">
        <f aca="false">(F73+F74)*F65</f>
        <v>0</v>
      </c>
      <c r="G75" s="27" t="n">
        <f aca="false">(G73+G74)*G65</f>
        <v>0</v>
      </c>
    </row>
    <row r="76" customFormat="false" ht="15" hidden="false" customHeight="false" outlineLevel="0" collapsed="false">
      <c r="A76" s="43" t="s">
        <v>426</v>
      </c>
      <c r="B76" s="44" t="n">
        <f aca="false">B26+B72</f>
        <v>0</v>
      </c>
      <c r="C76" s="44" t="n">
        <f aca="false">C26+C75</f>
        <v>-59255.2831889019</v>
      </c>
      <c r="D76" s="44" t="n">
        <f aca="false">D26+D75</f>
        <v>1615.18561079283</v>
      </c>
      <c r="E76" s="44" t="n">
        <f aca="false">E26+E75</f>
        <v>87828.2540782054</v>
      </c>
      <c r="F76" s="44" t="n">
        <f aca="false">F26+F75</f>
        <v>288513.789788378</v>
      </c>
      <c r="G76" s="44" t="n">
        <f aca="false">G26+G75</f>
        <v>647699.664094826</v>
      </c>
    </row>
    <row r="78" customFormat="false" ht="15" hidden="false" customHeight="false" outlineLevel="0" collapsed="false">
      <c r="A78" s="17" t="s">
        <v>427</v>
      </c>
      <c r="B78" s="18"/>
      <c r="C78" s="18"/>
      <c r="D78" s="18"/>
      <c r="E78" s="18"/>
      <c r="F78" s="18"/>
      <c r="G78" s="18"/>
    </row>
    <row r="79" customFormat="false" ht="39.55" hidden="false" customHeight="false" outlineLevel="0" collapsed="false">
      <c r="A79" s="3" t="s">
        <v>428</v>
      </c>
      <c r="B79" s="3" t="s">
        <v>429</v>
      </c>
      <c r="C79" s="3" t="s">
        <v>430</v>
      </c>
      <c r="D79" s="3" t="s">
        <v>431</v>
      </c>
      <c r="E79" s="3" t="s">
        <v>432</v>
      </c>
      <c r="F79" s="3" t="s">
        <v>433</v>
      </c>
      <c r="G79" s="3" t="s">
        <v>434</v>
      </c>
    </row>
    <row r="80" customFormat="false" ht="15" hidden="false" customHeight="false" outlineLevel="0" collapsed="false">
      <c r="A80" s="7" t="s">
        <v>376</v>
      </c>
      <c r="B80" s="6" t="n">
        <f aca="false">SUMPRODUCT($B$26:$G$26,$B$6:$G$6)</f>
        <v>430319.343366045</v>
      </c>
      <c r="C80" s="27" t="n">
        <f aca="false">B80*Factores!$C$14</f>
        <v>131423.564555632</v>
      </c>
      <c r="D80" s="27" t="n">
        <f aca="false">SUMPRODUCT(($B$26:$G$26&gt;0)*$B$26:$G$26,$B$6:$G$6)</f>
        <v>690319.343366045</v>
      </c>
      <c r="E80" s="27" t="n">
        <f aca="false">SUMPRODUCT(($B$26:$G$26&lt;0)*(-$B$26:$G$26),$B$6:$G$6)</f>
        <v>260000</v>
      </c>
      <c r="F80" s="45" t="n">
        <f aca="false">IF(E80=0,"n.a.",D80/E80)</f>
        <v>2.65507439756171</v>
      </c>
      <c r="G80" s="46" t="n">
        <f aca="false">IF(COUNT(AM5:AQ5)=0,"No recupera en 5 años",MIN(AM5:AQ5))</f>
        <v>3.23472856795589</v>
      </c>
    </row>
    <row r="81" customFormat="false" ht="15" hidden="false" customHeight="false" outlineLevel="0" collapsed="false">
      <c r="A81" s="7" t="s">
        <v>8</v>
      </c>
      <c r="B81" s="6" t="n">
        <f aca="false">SUMPRODUCT($B$42:$G$42,$B$6:$G$6)</f>
        <v>28858.1673938038</v>
      </c>
      <c r="C81" s="27" t="n">
        <f aca="false">B81*Factores!$C$14</f>
        <v>8813.55505836665</v>
      </c>
      <c r="D81" s="27" t="n">
        <f aca="false">SUMPRODUCT(($B$42:$G$42&gt;0)*$B$42:$G$42,$B$6:$G$6)</f>
        <v>191437.908773114</v>
      </c>
      <c r="E81" s="27" t="n">
        <f aca="false">SUMPRODUCT(($B$42:$G$42&lt;0)*(-$B$42:$G$42),$B$6:$G$6)</f>
        <v>162579.74137931</v>
      </c>
      <c r="F81" s="45" t="n">
        <f aca="false">IF(E81=0,"n.a.",D81/E81)</f>
        <v>1.17750161950667</v>
      </c>
      <c r="G81" s="46" t="n">
        <f aca="false">IF(COUNT(AM6:AQ6)=0,"No recupera en 5 años",MIN(AM6:AQ6))</f>
        <v>4.59567733213795</v>
      </c>
    </row>
    <row r="82" customFormat="false" ht="15" hidden="false" customHeight="false" outlineLevel="0" collapsed="false">
      <c r="A82" s="7" t="s">
        <v>9</v>
      </c>
      <c r="B82" s="6" t="n">
        <f aca="false">SUMPRODUCT($B$57:$G$57,$B$6:$G$6)</f>
        <v>59336.4709438024</v>
      </c>
      <c r="C82" s="27" t="n">
        <f aca="false">B82*Factores!$C$14</f>
        <v>18121.9148983335</v>
      </c>
      <c r="D82" s="27" t="n">
        <f aca="false">SUMPRODUCT(($B$57:$G$57&gt;0)*$B$57:$G$57,$B$6:$G$6)</f>
        <v>161656.298530009</v>
      </c>
      <c r="E82" s="27" t="n">
        <f aca="false">SUMPRODUCT(($B$57:$G$57&lt;0)*(-$B$57:$G$57),$B$6:$G$6)</f>
        <v>102319.827586207</v>
      </c>
      <c r="F82" s="45" t="n">
        <f aca="false">IF(E82=0,"n.a.",D82/E82)</f>
        <v>1.57991175653428</v>
      </c>
      <c r="G82" s="46" t="n">
        <f aca="false">IF(COUNT(AM7:AQ7)=0,"No recupera en 5 años",MIN(AM7:AQ7))</f>
        <v>3.90167480562772</v>
      </c>
    </row>
    <row r="83" customFormat="false" ht="15" hidden="false" customHeight="false" outlineLevel="0" collapsed="false">
      <c r="A83" s="7" t="s">
        <v>10</v>
      </c>
      <c r="B83" s="6" t="n">
        <f aca="false">SUMPRODUCT($B$60:$G$60,$B$6:$G$6)</f>
        <v>88194.6383376061</v>
      </c>
      <c r="C83" s="27" t="n">
        <f aca="false">B83*Factores!$C$14</f>
        <v>26935.4699567001</v>
      </c>
      <c r="D83" s="27" t="n">
        <f aca="false">SUMPRODUCT(($B$60:$G$60&gt;0)*$B$60:$G$60,$B$6:$G$6)</f>
        <v>353094.207303123</v>
      </c>
      <c r="E83" s="27" t="n">
        <f aca="false">SUMPRODUCT(($B$60:$G$60&lt;0)*(-$B$60:$G$60),$B$6:$G$6)</f>
        <v>264899.568965517</v>
      </c>
      <c r="F83" s="45" t="n">
        <f aca="false">IF(E83=0,"n.a.",D83/E83)</f>
        <v>1.33293613380355</v>
      </c>
      <c r="G83" s="46" t="n">
        <f aca="false">IF(COUNT(AM8:AQ8)=0,"No recupera en 5 años",MIN(AM8:AQ8))</f>
        <v>4.30274299924176</v>
      </c>
    </row>
    <row r="84" customFormat="false" ht="15" hidden="false" customHeight="false" outlineLevel="0" collapsed="false">
      <c r="A84" s="7" t="s">
        <v>381</v>
      </c>
      <c r="B84" s="6" t="n">
        <f aca="false">SUMPRODUCT($B$61:$G$61,$B$6:$G$6)</f>
        <v>518513.981703651</v>
      </c>
      <c r="C84" s="27" t="n">
        <f aca="false">B84*Factores!$C$14</f>
        <v>158359.034512333</v>
      </c>
      <c r="D84" s="27" t="n">
        <f aca="false">SUMPRODUCT(($B$61:$G$61&gt;0)*$B$61:$G$61,$B$6:$G$6)</f>
        <v>1012546.84415421</v>
      </c>
      <c r="E84" s="27" t="n">
        <f aca="false">SUMPRODUCT(($B$61:$G$61&lt;0)*(-$B$61:$G$61),$B$6:$G$6)</f>
        <v>494032.862450559</v>
      </c>
      <c r="F84" s="45" t="n">
        <f aca="false">IF(E84=0,"n.a.",D84/E84)</f>
        <v>2.04955362510028</v>
      </c>
      <c r="G84" s="46" t="n">
        <f aca="false">IF(COUNT(AM9:AQ9)=0,"No recupera en 5 años",MIN(AM9:AQ9))</f>
        <v>3.67159174535204</v>
      </c>
    </row>
    <row r="85" customFormat="false" ht="15" hidden="false" customHeight="false" outlineLevel="0" collapsed="false">
      <c r="A85" s="7" t="s">
        <v>383</v>
      </c>
      <c r="B85" s="6" t="n">
        <f aca="false">SUMPRODUCT($B$70:$G$70,$B$6:$G$6)</f>
        <v>599354.372063608</v>
      </c>
      <c r="C85" s="27" t="n">
        <f aca="false">B85*Factores!$C$14</f>
        <v>183048.448141914</v>
      </c>
      <c r="D85" s="27" t="n">
        <f aca="false">SUMPRODUCT(($B$70:$G$70&gt;0)*$B$70:$G$70,$B$6:$G$6)</f>
        <v>788509.552597987</v>
      </c>
      <c r="E85" s="27" t="n">
        <f aca="false">SUMPRODUCT(($B$70:$G$70&lt;0)*(-$B$70:$G$70),$B$6:$G$6)</f>
        <v>189155.180534379</v>
      </c>
      <c r="F85" s="45" t="n">
        <f aca="false">IF(E85=0,"n.a.",D85/E85)</f>
        <v>4.1685855516639</v>
      </c>
      <c r="G85" s="46" t="n">
        <f aca="false">IF(COUNT(AM10:AQ10)=0,"No recupera en 5 años",MIN(AM10:AQ10))</f>
        <v>3.35420542198773</v>
      </c>
    </row>
    <row r="86" customFormat="false" ht="15" hidden="false" customHeight="false" outlineLevel="0" collapsed="false">
      <c r="A86" s="7" t="s">
        <v>385</v>
      </c>
      <c r="B86" s="6" t="n">
        <f aca="false">SUMPRODUCT($B$76:$G$76,$B$6:$G$6)</f>
        <v>474107.888144355</v>
      </c>
      <c r="C86" s="27" t="n">
        <f aca="false">B86*Factores!$C$14</f>
        <v>144796.996938323</v>
      </c>
      <c r="D86" s="27" t="n">
        <f aca="false">SUMPRODUCT(($B$76:$G$76&gt;0)*$B$76:$G$76,$B$6:$G$6)</f>
        <v>525190.028824443</v>
      </c>
      <c r="E86" s="27" t="n">
        <f aca="false">SUMPRODUCT(($B$76:$G$76&lt;0)*(-$B$76:$G$76),$B$6:$G$6)</f>
        <v>51082.1406800878</v>
      </c>
      <c r="F86" s="45" t="n">
        <f aca="false">IF(E86=0,"n.a.",D86/E86)</f>
        <v>10.2812846492388</v>
      </c>
      <c r="G86" s="46" t="n">
        <f aca="false">IF(COUNT(AM11:AQ11)=0,"No recupera en 5 años",MIN(AM11:AQ11))</f>
        <v>2.88650622248664</v>
      </c>
    </row>
    <row r="87" customFormat="false" ht="15" hidden="false" customHeight="false" outlineLevel="0" collapsed="false">
      <c r="A87" s="7" t="s">
        <v>387</v>
      </c>
      <c r="B87" s="6" t="n">
        <f aca="false">SUMPRODUCT($B$27:$G$27,$B$7:$G$7)</f>
        <v>482168.486659827</v>
      </c>
      <c r="C87" s="27" t="n">
        <f aca="false">B87*(Tasas!$C$13*(1+Tasas!$C$13)^5)/((1+Tasas!$C$13)^5-1)</f>
        <v>170884.959707534</v>
      </c>
      <c r="D87" s="27" t="n">
        <f aca="false">SUMPRODUCT(($B$27:$G$27&gt;0)*$B$27:$G$27,$B$7:$G$7)</f>
        <v>742168.486659827</v>
      </c>
      <c r="E87" s="27" t="n">
        <f aca="false">SUMPRODUCT(($B$27:$G$27&lt;0)*(-$B$27:$G$27),$B$7:$G$7)</f>
        <v>260000</v>
      </c>
      <c r="F87" s="45" t="n">
        <f aca="false">IF(E87=0,"n.a.",D87/E87)</f>
        <v>2.85449417946087</v>
      </c>
      <c r="G87" s="46" t="n">
        <f aca="false">IF(COUNT(AM12:AQ12)=0,"No recupera en 5 años",MIN(AM12:AQ12))</f>
        <v>2.96147776980365</v>
      </c>
    </row>
    <row r="88" customFormat="false" ht="15" hidden="false" customHeight="false" outlineLevel="0" collapsed="false">
      <c r="A88" s="7" t="s">
        <v>389</v>
      </c>
      <c r="B88" s="6" t="n">
        <f aca="false">SUMPRODUCT($B$62:$G$62,$B$7:$G$7)</f>
        <v>564349.172721539</v>
      </c>
      <c r="C88" s="27" t="n">
        <f aca="false">B88*(Tasas!$C$13*(1+Tasas!$C$13)^5)/((1+Tasas!$C$13)^5-1)</f>
        <v>200010.552969917</v>
      </c>
      <c r="D88" s="27" t="n">
        <f aca="false">SUMPRODUCT(($B$62:$G$62&gt;0)*$B$62:$G$62,$B$7:$G$7)</f>
        <v>1078685.15011188</v>
      </c>
      <c r="E88" s="27" t="n">
        <f aca="false">SUMPRODUCT(($B$62:$G$62&lt;0)*(-$B$62:$G$62),$B$7:$G$7)</f>
        <v>514335.977390345</v>
      </c>
      <c r="F88" s="45" t="n">
        <f aca="false">IF(E88=0,"n.a.",D88/E88)</f>
        <v>2.09723837633321</v>
      </c>
      <c r="G88" s="46" t="n">
        <f aca="false">IF(COUNT(AM13:AQ13)=0,"No recupera en 5 años",MIN(AM13:AQ13))</f>
        <v>3.45730057728103</v>
      </c>
    </row>
    <row r="90" customFormat="false" ht="39.55" hidden="false" customHeight="false" outlineLevel="0" collapsed="false">
      <c r="A90" s="3" t="s">
        <v>15</v>
      </c>
      <c r="B90" s="3" t="s">
        <v>435</v>
      </c>
      <c r="C90" s="3" t="s">
        <v>436</v>
      </c>
      <c r="D90" s="3" t="s">
        <v>437</v>
      </c>
      <c r="E90" s="3" t="s">
        <v>438</v>
      </c>
      <c r="F90" s="3" t="s">
        <v>96</v>
      </c>
      <c r="G90" s="3" t="s">
        <v>439</v>
      </c>
    </row>
    <row r="91" customFormat="false" ht="15" hidden="false" customHeight="false" outlineLevel="0" collapsed="false">
      <c r="A91" s="7" t="s">
        <v>376</v>
      </c>
      <c r="B91" s="47" t="n">
        <f aca="false">IF(OR(MAX($J$5:$AD$5)&lt;0,MIN($J$5:$AD$5)&gt;0),"-",INDEX($J$4:$AD$4,MATCH(0,$J$5:$AD$5,-1)))</f>
        <v>0.5</v>
      </c>
      <c r="C91" s="27" t="n">
        <f aca="false">IF(OR(MAX($J$5:$AD$5)&lt;0,MIN($J$5:$AD$5)&gt;0),"-",INDEX($J$5:$AD$5,MATCH(0,$J$5:$AD$5,-1)))</f>
        <v>4690.56914933963</v>
      </c>
      <c r="D91" s="47" t="n">
        <f aca="false">IF(OR(MAX($J$5:$AD$5)&lt;0,MIN($J$5:$AD$5)&gt;0),"-",INDEX($J$4:$AD$4,MATCH(0,$J$5:$AD$5,-1)+1))</f>
        <v>0.55</v>
      </c>
      <c r="E91" s="27" t="n">
        <f aca="false">IF(OR(MAX($J$5:$AD$5)&lt;0,MIN($J$5:$AD$5)&gt;0),"-",INDEX($J$5:$AD$5,MATCH(0,$J$5:$AD$5,-1)+1))</f>
        <v>-23899.3905313022</v>
      </c>
      <c r="F91" s="33" t="n">
        <f aca="false">IF(OR(MAX($J$5:$AD$5)&lt;0,MIN($J$5:$AD$5)&gt;0),"No existe",B91+C91/(C91-E91)*(D91-B91))</f>
        <v>0.508203175523391</v>
      </c>
      <c r="G91" s="32" t="n">
        <f aca="false">IFERROR(IRR($B$26:$G$26),"No existe")</f>
        <v>0.507659284400437</v>
      </c>
    </row>
    <row r="92" customFormat="false" ht="15" hidden="false" customHeight="false" outlineLevel="0" collapsed="false">
      <c r="A92" s="7" t="s">
        <v>8</v>
      </c>
      <c r="B92" s="47" t="n">
        <f aca="false">IF(OR(MAX($J$6:$AD$6)&lt;0,MIN($J$6:$AD$6)&gt;0),"-",INDEX($J$4:$AD$4,MATCH(0,$J$6:$AD$6,-1)))</f>
        <v>0.2</v>
      </c>
      <c r="C92" s="27" t="n">
        <f aca="false">IF(OR(MAX($J$6:$AD$6)&lt;0,MIN($J$6:$AD$6)&gt;0),"-",INDEX($J$6:$AD$6,MATCH(0,$J$6:$AD$6,-1)))</f>
        <v>6114.08179012347</v>
      </c>
      <c r="D92" s="47" t="n">
        <f aca="false">IF(OR(MAX($J$6:$AD$6)&lt;0,MIN($J$6:$AD$6)&gt;0),"-",INDEX($J$4:$AD$4,MATCH(0,$J$6:$AD$6,-1)+1))</f>
        <v>0.25</v>
      </c>
      <c r="E92" s="27" t="n">
        <f aca="false">IF(OR(MAX($J$6:$AD$6)&lt;0,MIN($J$6:$AD$6)&gt;0),"-",INDEX($J$6:$AD$6,MATCH(0,$J$6:$AD$6,-1)+1))</f>
        <v>-17204.8352</v>
      </c>
      <c r="F92" s="33" t="n">
        <f aca="false">IF(OR(MAX($J$6:$AD$6)&lt;0,MIN($J$6:$AD$6)&gt;0),"No existe",B92+C92/(C92-E92)*(D92-B92))</f>
        <v>0.213109703578243</v>
      </c>
      <c r="G92" s="32" t="n">
        <f aca="false">IFERROR(IRR($B$42:$G$42),"No existe")</f>
        <v>0.212094476407589</v>
      </c>
    </row>
    <row r="93" customFormat="false" ht="15" hidden="false" customHeight="false" outlineLevel="0" collapsed="false">
      <c r="A93" s="7" t="s">
        <v>9</v>
      </c>
      <c r="B93" s="47" t="n">
        <f aca="false">IF(OR(MAX($J$7:$AD$7)&lt;0,MIN($J$7:$AD$7)&gt;0),"-",INDEX($J$4:$AD$4,MATCH(0,$J$7:$AD$7,-1)))</f>
        <v>0.3</v>
      </c>
      <c r="C93" s="27" t="n">
        <f aca="false">IF(OR(MAX($J$7:$AD$7)&lt;0,MIN($J$7:$AD$7)&gt;0),"-",INDEX($J$7:$AD$7,MATCH(0,$J$7:$AD$7,-1)))</f>
        <v>4296.52441602722</v>
      </c>
      <c r="D93" s="47" t="n">
        <f aca="false">IF(OR(MAX($J$7:$AD$7)&lt;0,MIN($J$7:$AD$7)&gt;0),"-",INDEX($J$4:$AD$4,MATCH(0,$J$7:$AD$7,-1)+1))</f>
        <v>0.35</v>
      </c>
      <c r="E93" s="27" t="n">
        <f aca="false">IF(OR(MAX($J$7:$AD$7)&lt;0,MIN($J$7:$AD$7)&gt;0),"-",INDEX($J$7:$AD$7,MATCH(0,$J$7:$AD$7,-1)+1))</f>
        <v>-8948.35323833378</v>
      </c>
      <c r="F93" s="33" t="n">
        <f aca="false">IF(OR(MAX($J$7:$AD$7)&lt;0,MIN($J$7:$AD$7)&gt;0),"No existe",B93+C93/(C93-E93)*(D93-B93))</f>
        <v>0.316219570041149</v>
      </c>
      <c r="G93" s="32" t="n">
        <f aca="false">IFERROR(IRR($B$57:$G$57),"No existe")</f>
        <v>0.315192302649199</v>
      </c>
    </row>
    <row r="94" customFormat="false" ht="15" hidden="false" customHeight="false" outlineLevel="0" collapsed="false">
      <c r="A94" s="7" t="s">
        <v>10</v>
      </c>
      <c r="B94" s="47" t="n">
        <f aca="false">IF(OR(MAX($J$8:$AD$8)&lt;0,MIN($J$8:$AD$8)&gt;0),"-",INDEX($J$4:$AD$4,MATCH(0,$J$8:$AD$8,-1)))</f>
        <v>0.25</v>
      </c>
      <c r="C94" s="27" t="n">
        <f aca="false">IF(OR(MAX($J$8:$AD$8)&lt;0,MIN($J$8:$AD$8)&gt;0),"-",INDEX($J$8:$AD$8,MATCH(0,$J$8:$AD$8,-1)))</f>
        <v>3201.15904000001</v>
      </c>
      <c r="D94" s="47" t="n">
        <f aca="false">IF(OR(MAX($J$8:$AD$8)&lt;0,MIN($J$8:$AD$8)&gt;0),"-",INDEX($J$4:$AD$4,MATCH(0,$J$8:$AD$8,-1)+1))</f>
        <v>0.3</v>
      </c>
      <c r="E94" s="27" t="n">
        <f aca="false">IF(OR(MAX($J$8:$AD$8)&lt;0,MIN($J$8:$AD$8)&gt;0),"-",INDEX($J$8:$AD$8,MATCH(0,$J$8:$AD$8,-1)+1))</f>
        <v>-31766.7963306607</v>
      </c>
      <c r="F94" s="33" t="n">
        <f aca="false">IF(OR(MAX($J$8:$AD$8)&lt;0,MIN($J$8:$AD$8)&gt;0),"No existe",B94+C94/(C94-E94)*(D94-B94))</f>
        <v>0.2545772751167</v>
      </c>
      <c r="G94" s="32" t="n">
        <f aca="false">IFERROR(IRR($B$60:$G$60),"No existe")</f>
        <v>0.254173300220369</v>
      </c>
    </row>
    <row r="95" customFormat="false" ht="15" hidden="false" customHeight="false" outlineLevel="0" collapsed="false">
      <c r="A95" s="7" t="s">
        <v>381</v>
      </c>
      <c r="B95" s="47" t="n">
        <f aca="false">IF(OR(MAX($J$9:$AD$9)&lt;0,MIN($J$9:$AD$9)&gt;0),"-",INDEX($J$4:$AD$4,MATCH(0,$J$9:$AD$9,-1)))</f>
        <v>0.35</v>
      </c>
      <c r="C95" s="27" t="n">
        <f aca="false">IF(OR(MAX($J$9:$AD$9)&lt;0,MIN($J$9:$AD$9)&gt;0),"-",INDEX($J$9:$AD$9,MATCH(0,$J$9:$AD$9,-1)))</f>
        <v>66633.1508153085</v>
      </c>
      <c r="D95" s="47" t="n">
        <f aca="false">IF(OR(MAX($J$9:$AD$9)&lt;0,MIN($J$9:$AD$9)&gt;0),"-",INDEX($J$4:$AD$4,MATCH(0,$J$9:$AD$9,-1)+1))</f>
        <v>0.4</v>
      </c>
      <c r="E95" s="27" t="n">
        <f aca="false">IF(OR(MAX($J$9:$AD$9)&lt;0,MIN($J$9:$AD$9)&gt;0),"-",INDEX($J$9:$AD$9,MATCH(0,$J$9:$AD$9,-1)+1))</f>
        <v>-5287.70572923444</v>
      </c>
      <c r="F95" s="33" t="n">
        <f aca="false">IF(OR(MAX($J$9:$AD$9)&lt;0,MIN($J$9:$AD$9)&gt;0),"No existe",B95+C95/(C95-E95)*(D95-B95))</f>
        <v>0.396323941354926</v>
      </c>
      <c r="G95" s="32" t="n">
        <f aca="false">IFERROR(IRR($B$61:$G$61),"No existe")</f>
        <v>0.395990425239865</v>
      </c>
    </row>
    <row r="96" customFormat="false" ht="15" hidden="false" customHeight="false" outlineLevel="0" collapsed="false">
      <c r="A96" s="7" t="s">
        <v>383</v>
      </c>
      <c r="B96" s="47" t="str">
        <f aca="false">IF(OR(MAX($J$10:$AD$10)&lt;0,MIN($J$10:$AD$10)&gt;0),"-",INDEX($J$4:$AD$4,MATCH(0,$J$10:$AD$10,-1)))</f>
        <v>-</v>
      </c>
      <c r="C96" s="27" t="str">
        <f aca="false">IF(OR(MAX($J$10:$AD$10)&lt;0,MIN($J$10:$AD$10)&gt;0),"-",INDEX($J$10:$AD$10,MATCH(0,$J$10:$AD$10,-1)))</f>
        <v>-</v>
      </c>
      <c r="D96" s="47" t="str">
        <f aca="false">IF(OR(MAX($J$10:$AD$10)&lt;0,MIN($J$10:$AD$10)&gt;0),"-",INDEX($J$4:$AD$4,MATCH(0,$J$10:$AD$10,-1)+1))</f>
        <v>-</v>
      </c>
      <c r="E96" s="27" t="str">
        <f aca="false">IF(OR(MAX($J$10:$AD$10)&lt;0,MIN($J$10:$AD$10)&gt;0),"-",INDEX($J$10:$AD$10,MATCH(0,$J$10:$AD$10,-1)+1))</f>
        <v>-</v>
      </c>
      <c r="F96" s="33" t="str">
        <f aca="false">IF(OR(MAX($J$10:$AD$10)&lt;0,MIN($J$10:$AD$10)&gt;0),"No existe",B96+C96/(C96-E96)*(D96-B96))</f>
        <v>No existe</v>
      </c>
      <c r="G96" s="32" t="n">
        <f aca="false">IFERROR(IRR($B$70:$G$70),"No existe")</f>
        <v>0.811452462603136</v>
      </c>
    </row>
    <row r="97" customFormat="false" ht="15" hidden="false" customHeight="false" outlineLevel="0" collapsed="false">
      <c r="A97" s="7" t="s">
        <v>385</v>
      </c>
      <c r="B97" s="47" t="str">
        <f aca="false">IF(OR(MAX($J$11:$AD$11)&lt;0,MIN($J$11:$AD$11)&gt;0),"-",INDEX($J$4:$AD$4,MATCH(0,$J$11:$AD$11,-1)))</f>
        <v>-</v>
      </c>
      <c r="C97" s="27" t="str">
        <f aca="false">IF(OR(MAX($J$11:$AD$11)&lt;0,MIN($J$11:$AD$11)&gt;0),"-",INDEX($J$11:$AD$11,MATCH(0,$J$11:$AD$11,-1)))</f>
        <v>-</v>
      </c>
      <c r="D97" s="47" t="str">
        <f aca="false">IF(OR(MAX($J$11:$AD$11)&lt;0,MIN($J$11:$AD$11)&gt;0),"-",INDEX($J$4:$AD$4,MATCH(0,$J$11:$AD$11,-1)+1))</f>
        <v>-</v>
      </c>
      <c r="E97" s="27" t="str">
        <f aca="false">IF(OR(MAX($J$11:$AD$11)&lt;0,MIN($J$11:$AD$11)&gt;0),"-",INDEX($J$11:$AD$11,MATCH(0,$J$11:$AD$11,-1)+1))</f>
        <v>-</v>
      </c>
      <c r="F97" s="33" t="str">
        <f aca="false">IF(OR(MAX($J$11:$AD$11)&lt;0,MIN($J$11:$AD$11)&gt;0),"No existe",B97+C97/(C97-E97)*(D97-B97))</f>
        <v>No existe</v>
      </c>
      <c r="G97" s="32" t="n">
        <f aca="false">IFERROR(IRR($B$76:$G$76),"No existe")</f>
        <v>1.36036279387568</v>
      </c>
    </row>
    <row r="98" customFormat="false" ht="15" hidden="false" customHeight="false" outlineLevel="0" collapsed="false">
      <c r="A98" s="7" t="s">
        <v>387</v>
      </c>
      <c r="B98" s="47" t="str">
        <f aca="false">IF(OR(MAX($J$12:$AD$12)&lt;0,MIN($J$12:$AD$12)&gt;0),"-",INDEX($J$4:$AD$4,MATCH(0,$J$12:$AD$12,-1)))</f>
        <v>-</v>
      </c>
      <c r="C98" s="27" t="str">
        <f aca="false">IF(OR(MAX($J$12:$AD$12)&lt;0,MIN($J$12:$AD$12)&gt;0),"-",INDEX($J$12:$AD$12,MATCH(0,$J$12:$AD$12,-1)))</f>
        <v>-</v>
      </c>
      <c r="D98" s="47" t="str">
        <f aca="false">IF(OR(MAX($J$12:$AD$12)&lt;0,MIN($J$12:$AD$12)&gt;0),"-",INDEX($J$4:$AD$4,MATCH(0,$J$12:$AD$12,-1)+1))</f>
        <v>-</v>
      </c>
      <c r="E98" s="27" t="str">
        <f aca="false">IF(OR(MAX($J$12:$AD$12)&lt;0,MIN($J$12:$AD$12)&gt;0),"-",INDEX($J$12:$AD$12,MATCH(0,$J$12:$AD$12,-1)+1))</f>
        <v>-</v>
      </c>
      <c r="F98" s="33" t="str">
        <f aca="false">IF(OR(MAX($J$12:$AD$12)&lt;0,MIN($J$12:$AD$12)&gt;0),"No existe",B98+C98/(C98-E98)*(D98-B98))</f>
        <v>No existe</v>
      </c>
      <c r="G98" s="32" t="n">
        <f aca="false">IFERROR(IRR($B$27:$G$27),"No existe")</f>
        <v>0.64068334861669</v>
      </c>
    </row>
    <row r="99" customFormat="false" ht="15" hidden="false" customHeight="false" outlineLevel="0" collapsed="false">
      <c r="A99" s="7" t="s">
        <v>389</v>
      </c>
      <c r="B99" s="47" t="n">
        <f aca="false">IF(OR(MAX($J$13:$AD$13)&lt;0,MIN($J$13:$AD$13)&gt;0),"-",INDEX($J$4:$AD$4,MATCH(0,$J$13:$AD$13,-1)))</f>
        <v>0.45</v>
      </c>
      <c r="C99" s="27" t="n">
        <f aca="false">IF(OR(MAX($J$13:$AD$13)&lt;0,MIN($J$13:$AD$13)&gt;0),"-",INDEX($J$13:$AD$13,MATCH(0,$J$13:$AD$13,-1)))</f>
        <v>61837.8813502209</v>
      </c>
      <c r="D99" s="47" t="n">
        <f aca="false">IF(OR(MAX($J$13:$AD$13)&lt;0,MIN($J$13:$AD$13)&gt;0),"-",INDEX($J$4:$AD$4,MATCH(0,$J$13:$AD$13,-1)+1))</f>
        <v>0.5</v>
      </c>
      <c r="E99" s="27" t="n">
        <f aca="false">IF(OR(MAX($J$13:$AD$13)&lt;0,MIN($J$13:$AD$13)&gt;0),"-",INDEX($J$13:$AD$13,MATCH(0,$J$13:$AD$13,-1)+1))</f>
        <v>-4402.56079406141</v>
      </c>
      <c r="F99" s="33" t="n">
        <f aca="false">IF(OR(MAX($J$13:$AD$13)&lt;0,MIN($J$13:$AD$13)&gt;0),"No existe",B99+C99/(C99-E99)*(D99-B99))</f>
        <v>0.496676833176572</v>
      </c>
      <c r="G99" s="32" t="n">
        <f aca="false">IFERROR(IRR($B$62:$G$62),"No existe")</f>
        <v>0.49639916366658</v>
      </c>
    </row>
    <row r="100" customFormat="false" ht="15" hidden="false" customHeight="false" outlineLevel="0" collapsed="false">
      <c r="A100" s="2" t="s">
        <v>440</v>
      </c>
    </row>
    <row r="102" customFormat="false" ht="39.55" hidden="false" customHeight="false" outlineLevel="0" collapsed="false">
      <c r="A102" s="3" t="s">
        <v>16</v>
      </c>
      <c r="B102" s="3" t="s">
        <v>441</v>
      </c>
      <c r="C102" s="3" t="s">
        <v>442</v>
      </c>
      <c r="D102" s="3" t="s">
        <v>443</v>
      </c>
      <c r="E102" s="3"/>
      <c r="F102" s="3"/>
      <c r="G102" s="3"/>
    </row>
    <row r="103" customFormat="false" ht="15" hidden="false" customHeight="false" outlineLevel="0" collapsed="false">
      <c r="A103" s="7" t="s">
        <v>376</v>
      </c>
      <c r="B103" s="27" t="n">
        <f aca="false">SUMPRODUCT(($B$26:$G$26&lt;0)*(-$B$26:$G$26),(1+Tasas!$C$14)^(-$B$5:$G$5))</f>
        <v>260000</v>
      </c>
      <c r="C103" s="27" t="n">
        <f aca="false">SUMPRODUCT(($B$26:$G$26&gt;0)*$B$26:$G$26,(1+Tasas!$C$10)^(Supuestos!$C$10-$B$5:$G$5))</f>
        <v>1449906.47391878</v>
      </c>
      <c r="D103" s="33" t="n">
        <f aca="false">IF(OR(B103=0,C103=0),"No existe",(C103/B103)^(1/Supuestos!$C$10)-1)</f>
        <v>0.410176029640806</v>
      </c>
    </row>
    <row r="104" customFormat="false" ht="15" hidden="false" customHeight="false" outlineLevel="0" collapsed="false">
      <c r="A104" s="7" t="s">
        <v>8</v>
      </c>
      <c r="B104" s="27" t="n">
        <f aca="false">SUMPRODUCT(($B$42:$G$42&lt;0)*(-$B$42:$G$42),(1+Tasas!$C$14)^(-$B$5:$G$5))</f>
        <v>163666.681222707</v>
      </c>
      <c r="C104" s="27" t="n">
        <f aca="false">SUMPRODUCT(($B$42:$G$42&gt;0)*$B$42:$G$42,(1+Tasas!$C$10)^(Supuestos!$C$10-$B$5:$G$5))</f>
        <v>402085.01464</v>
      </c>
      <c r="D104" s="33" t="n">
        <f aca="false">IF(OR(B104=0,C104=0),"No existe",(C104/B104)^(1/Supuestos!$C$10)-1)</f>
        <v>0.196937634219241</v>
      </c>
    </row>
    <row r="105" customFormat="false" ht="15" hidden="false" customHeight="false" outlineLevel="0" collapsed="false">
      <c r="A105" s="7" t="s">
        <v>9</v>
      </c>
      <c r="B105" s="27" t="n">
        <f aca="false">SUMPRODUCT(($B$57:$G$57&lt;0)*(-$B$57:$G$57),(1+Tasas!$C$14)^(-$B$5:$G$5))</f>
        <v>102730.847161572</v>
      </c>
      <c r="C105" s="27" t="n">
        <f aca="false">SUMPRODUCT(($B$57:$G$57&gt;0)*$B$57:$G$57,(1+Tasas!$C$10)^(Supuestos!$C$10-$B$5:$G$5))</f>
        <v>339533.458016</v>
      </c>
      <c r="D105" s="33" t="n">
        <f aca="false">IF(OR(B105=0,C105=0),"No existe",(C105/B105)^(1/Supuestos!$C$10)-1)</f>
        <v>0.270095395052143</v>
      </c>
    </row>
    <row r="106" customFormat="false" ht="15" hidden="false" customHeight="false" outlineLevel="0" collapsed="false">
      <c r="A106" s="7" t="s">
        <v>10</v>
      </c>
      <c r="B106" s="27" t="n">
        <f aca="false">SUMPRODUCT(($B$60:$G$60&lt;0)*(-$B$60:$G$60),(1+Tasas!$C$14)^(-$B$5:$G$5))</f>
        <v>266397.528384279</v>
      </c>
      <c r="C106" s="27" t="n">
        <f aca="false">SUMPRODUCT(($B$60:$G$60&gt;0)*$B$60:$G$60,(1+Tasas!$C$10)^(Supuestos!$C$10-$B$5:$G$5))</f>
        <v>741618.472656</v>
      </c>
      <c r="D106" s="33" t="n">
        <f aca="false">IF(OR(B106=0,C106=0),"No existe",(C106/B106)^(1/Supuestos!$C$10)-1)</f>
        <v>0.227241603814003</v>
      </c>
    </row>
    <row r="107" customFormat="false" ht="15" hidden="false" customHeight="false" outlineLevel="0" collapsed="false">
      <c r="A107" s="7" t="s">
        <v>381</v>
      </c>
      <c r="B107" s="27" t="n">
        <f aca="false">SUMPRODUCT(($B$61:$G$61&lt;0)*(-$B$61:$G$61),(1+Tasas!$C$14)^(-$B$5:$G$5))</f>
        <v>494501.03305808</v>
      </c>
      <c r="C107" s="27" t="n">
        <f aca="false">SUMPRODUCT(($B$61:$G$61&gt;0)*$B$61:$G$61,(1+Tasas!$C$10)^(Supuestos!$C$10-$B$5:$G$5))</f>
        <v>2126694.3170485</v>
      </c>
      <c r="D107" s="33" t="n">
        <f aca="false">IF(OR(B107=0,C107=0),"No existe",(C107/B107)^(1/Supuestos!$C$10)-1)</f>
        <v>0.338774937202733</v>
      </c>
    </row>
    <row r="108" customFormat="false" ht="15" hidden="false" customHeight="false" outlineLevel="0" collapsed="false">
      <c r="A108" s="7" t="s">
        <v>383</v>
      </c>
      <c r="B108" s="27" t="n">
        <f aca="false">SUMPRODUCT(($B$70:$G$70&lt;0)*(-$B$70:$G$70),(1+Tasas!$C$14)^(-$B$5:$G$5))</f>
        <v>196287.48477241</v>
      </c>
      <c r="C108" s="27" t="n">
        <f aca="false">SUMPRODUCT(($B$70:$G$70&gt;0)*$B$70:$G$70,(1+Tasas!$C$10)^(Supuestos!$C$10-$B$5:$G$5))</f>
        <v>1656139.46073709</v>
      </c>
      <c r="D108" s="33" t="n">
        <f aca="false">IF(OR(B108=0,C108=0),"No existe",(C108/B108)^(1/Supuestos!$C$10)-1)</f>
        <v>0.531936835898915</v>
      </c>
    </row>
    <row r="109" customFormat="false" ht="15" hidden="false" customHeight="false" outlineLevel="0" collapsed="false">
      <c r="A109" s="7" t="s">
        <v>385</v>
      </c>
      <c r="B109" s="27" t="n">
        <f aca="false">SUMPRODUCT(($B$76:$G$76&lt;0)*(-$B$76:$G$76),(1+Tasas!$C$14)^(-$B$5:$G$5))</f>
        <v>52786.3658102008</v>
      </c>
      <c r="C109" s="27" t="n">
        <f aca="false">SUMPRODUCT(($B$76:$G$76&gt;0)*$B$76:$G$76,(1+Tasas!$C$10)^(Supuestos!$C$10-$B$5:$G$5))</f>
        <v>1103078.49569612</v>
      </c>
      <c r="D109" s="33" t="n">
        <f aca="false">IF(OR(B109=0,C109=0),"No existe",(C109/B109)^(1/Supuestos!$C$10)-1)</f>
        <v>0.836609942385852</v>
      </c>
    </row>
    <row r="110" customFormat="false" ht="15" hidden="false" customHeight="false" outlineLevel="0" collapsed="false">
      <c r="A110" s="2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447</v>
      </c>
    </row>
    <row r="2" customFormat="false" ht="15" hidden="false" customHeight="false" outlineLevel="0" collapsed="false">
      <c r="A2" s="2" t="s">
        <v>448</v>
      </c>
    </row>
    <row r="4" customFormat="false" ht="15" hidden="false" customHeight="false" outlineLevel="0" collapsed="false">
      <c r="A4" s="3" t="s">
        <v>449</v>
      </c>
      <c r="B4" s="3" t="s">
        <v>374</v>
      </c>
      <c r="C4" s="3" t="s">
        <v>137</v>
      </c>
      <c r="D4" s="3" t="s">
        <v>138</v>
      </c>
      <c r="E4" s="3" t="s">
        <v>139</v>
      </c>
      <c r="F4" s="3" t="s">
        <v>140</v>
      </c>
      <c r="G4" s="3" t="s">
        <v>141</v>
      </c>
    </row>
    <row r="5" customFormat="false" ht="15" hidden="false" customHeight="false" outlineLevel="0" collapsed="false">
      <c r="A5" s="7" t="s">
        <v>377</v>
      </c>
      <c r="B5" s="48" t="n">
        <f aca="false">Flujo_Base!B6</f>
        <v>1</v>
      </c>
      <c r="C5" s="48" t="n">
        <f aca="false">Flujo_Base!C6</f>
        <v>0.862068965517241</v>
      </c>
      <c r="D5" s="48" t="n">
        <f aca="false">Flujo_Base!D6</f>
        <v>0.743162901307967</v>
      </c>
      <c r="E5" s="48" t="n">
        <f aca="false">Flujo_Base!E6</f>
        <v>0.640657673541351</v>
      </c>
      <c r="F5" s="48" t="n">
        <f aca="false">Flujo_Base!F6</f>
        <v>0.552291097880475</v>
      </c>
      <c r="G5" s="48" t="n">
        <f aca="false">Flujo_Base!G6</f>
        <v>0.476113015414203</v>
      </c>
    </row>
    <row r="6" customFormat="false" ht="15" hidden="false" customHeight="false" outlineLevel="0" collapsed="false">
      <c r="A6" s="7" t="s">
        <v>450</v>
      </c>
      <c r="B6" s="5" t="n">
        <f aca="false">Flujo_Base!B61</f>
        <v>-480000</v>
      </c>
      <c r="C6" s="5" t="n">
        <f aca="false">Flujo_Base!C61</f>
        <v>-84028.1584671858</v>
      </c>
      <c r="D6" s="5" t="n">
        <f aca="false">Flujo_Base!D61</f>
        <v>30621.5671301019</v>
      </c>
      <c r="E6" s="5" t="n">
        <f aca="false">Flujo_Base!E61</f>
        <v>143112.410330023</v>
      </c>
      <c r="F6" s="5" t="n">
        <f aca="false">Flujo_Base!F61</f>
        <v>213763.004496174</v>
      </c>
      <c r="G6" s="5" t="n">
        <f aca="false">Flujo_Base!G61</f>
        <v>509495.205564393</v>
      </c>
    </row>
    <row r="7" customFormat="false" ht="15" hidden="false" customHeight="false" outlineLevel="0" collapsed="false">
      <c r="A7" s="7" t="s">
        <v>451</v>
      </c>
      <c r="B7" s="5" t="n">
        <f aca="false">Flujo_Base!B26</f>
        <v>-260000</v>
      </c>
      <c r="C7" s="5" t="n">
        <f aca="false">Flujo_Base!C26</f>
        <v>10192.8415328142</v>
      </c>
      <c r="D7" s="5" t="n">
        <f aca="false">Flujo_Base!D26</f>
        <v>58535.5671301019</v>
      </c>
      <c r="E7" s="5" t="n">
        <f aca="false">Flujo_Base!E26</f>
        <v>96719.4103300233</v>
      </c>
      <c r="F7" s="5" t="n">
        <f aca="false">Flujo_Base!F26</f>
        <v>150370.004496174</v>
      </c>
      <c r="G7" s="5" t="n">
        <f aca="false">Flujo_Base!G26</f>
        <v>378102.205564393</v>
      </c>
    </row>
    <row r="8" customFormat="false" ht="15" hidden="false" customHeight="false" outlineLevel="0" collapsed="false">
      <c r="A8" s="4" t="s">
        <v>452</v>
      </c>
      <c r="B8" s="6" t="n">
        <f aca="false">B6-B7</f>
        <v>-220000</v>
      </c>
      <c r="C8" s="6" t="n">
        <f aca="false">C6-C7</f>
        <v>-94221</v>
      </c>
      <c r="D8" s="6" t="n">
        <f aca="false">D6-D7</f>
        <v>-27914</v>
      </c>
      <c r="E8" s="6" t="n">
        <f aca="false">E6-E7</f>
        <v>46393</v>
      </c>
      <c r="F8" s="6" t="n">
        <f aca="false">F6-F7</f>
        <v>63393</v>
      </c>
      <c r="G8" s="6" t="n">
        <f aca="false">G6-G7</f>
        <v>131393</v>
      </c>
    </row>
    <row r="10" customFormat="false" ht="15" hidden="false" customHeight="false" outlineLevel="0" collapsed="false">
      <c r="A10" s="3" t="s">
        <v>453</v>
      </c>
      <c r="B10" s="3" t="s">
        <v>3</v>
      </c>
      <c r="C10" s="3" t="s">
        <v>4</v>
      </c>
      <c r="D10" s="3" t="s">
        <v>5</v>
      </c>
    </row>
    <row r="11" customFormat="false" ht="15" hidden="false" customHeight="false" outlineLevel="0" collapsed="false">
      <c r="A11" s="7" t="s">
        <v>454</v>
      </c>
      <c r="B11" s="5" t="n">
        <f aca="false">Flujo_Pesimista!B84-Flujo_Pesimista!B80</f>
        <v>-489341.802111501</v>
      </c>
      <c r="C11" s="5" t="n">
        <f aca="false">Flujo_Base!B84-Flujo_Base!B80</f>
        <v>-194678.310776251</v>
      </c>
      <c r="D11" s="5" t="n">
        <f aca="false">Flujo_Optimista!B84-Flujo_Optimista!B80</f>
        <v>88194.6383376062</v>
      </c>
    </row>
    <row r="12" customFormat="false" ht="15" hidden="false" customHeight="false" outlineLevel="0" collapsed="false">
      <c r="A12" s="7" t="s">
        <v>455</v>
      </c>
      <c r="B12" s="5" t="n">
        <f aca="false">Flujo_Pesimista!D84-Flujo_Pesimista!D80</f>
        <v>-49855.8836021787</v>
      </c>
      <c r="C12" s="5" t="n">
        <f aca="false">Flujo_Base!D84-Flujo_Base!D80</f>
        <v>97759.7568678743</v>
      </c>
      <c r="D12" s="5" t="n">
        <f aca="false">Flujo_Optimista!D84-Flujo_Optimista!D80</f>
        <v>322227.500788165</v>
      </c>
    </row>
    <row r="13" customFormat="false" ht="15" hidden="false" customHeight="false" outlineLevel="0" collapsed="false">
      <c r="A13" s="7" t="s">
        <v>456</v>
      </c>
      <c r="B13" s="5" t="n">
        <f aca="false">Flujo_Pesimista!E84-Flujo_Pesimista!E80</f>
        <v>439485.918509322</v>
      </c>
      <c r="C13" s="5" t="n">
        <f aca="false">Flujo_Base!E84-Flujo_Base!E80</f>
        <v>292438.067644126</v>
      </c>
      <c r="D13" s="5" t="n">
        <f aca="false">Flujo_Optimista!E84-Flujo_Optimista!E80</f>
        <v>234032.862450559</v>
      </c>
    </row>
    <row r="14" customFormat="false" ht="15" hidden="false" customHeight="false" outlineLevel="0" collapsed="false">
      <c r="A14" s="4" t="s">
        <v>112</v>
      </c>
      <c r="B14" s="49" t="n">
        <f aca="false">IF(B13=0,"n.a.",B12/B13)</f>
        <v>-0.113441367521588</v>
      </c>
      <c r="C14" s="49" t="n">
        <f aca="false">IF(C13=0,"n.a.",C12/C13)</f>
        <v>0.334292172203929</v>
      </c>
      <c r="D14" s="49" t="n">
        <f aca="false">IF(D13=0,"n.a.",D12/D13)</f>
        <v>1.37684724022994</v>
      </c>
    </row>
    <row r="15" customFormat="false" ht="15" hidden="false" customHeight="false" outlineLevel="0" collapsed="false">
      <c r="A15" s="4" t="s">
        <v>457</v>
      </c>
      <c r="B15" s="4" t="str">
        <f aca="false">IF(ISNUMBER(B14),IF(B14&gt;=1,"Retadora (completo)","Defensora (Fase 1)"),"-")</f>
        <v>Defensora (Fase 1)</v>
      </c>
      <c r="C15" s="4" t="str">
        <f aca="false">IF(ISNUMBER(C14),IF(C14&gt;=1,"Retadora (completo)","Defensora (Fase 1)"),"-")</f>
        <v>Defensora (Fase 1)</v>
      </c>
      <c r="D15" s="4" t="str">
        <f aca="false">IF(ISNUMBER(D14),IF(D14&gt;=1,"Retadora (completo)","Defensora (Fase 1)"),"-")</f>
        <v>Retadora (completo)</v>
      </c>
    </row>
    <row r="16" customFormat="false" ht="15" hidden="false" customHeight="false" outlineLevel="0" collapsed="false">
      <c r="A16" s="7" t="s">
        <v>458</v>
      </c>
      <c r="C16" s="33" t="n">
        <f aca="false">IFERROR(IRR(B8:G8),"No existe")</f>
        <v>-0.0852946419612528</v>
      </c>
    </row>
    <row r="17" customFormat="false" ht="15" hidden="false" customHeight="false" outlineLevel="0" collapsed="false">
      <c r="A17" s="2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3" min="2" style="0" width="14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460</v>
      </c>
    </row>
    <row r="2" customFormat="false" ht="15" hidden="false" customHeight="false" outlineLevel="0" collapsed="false">
      <c r="A2" s="2" t="s">
        <v>461</v>
      </c>
    </row>
    <row r="4" customFormat="false" ht="15" hidden="false" customHeight="false" outlineLevel="0" collapsed="false">
      <c r="A4" s="3" t="s">
        <v>462</v>
      </c>
      <c r="B4" s="3" t="s">
        <v>35</v>
      </c>
      <c r="C4" s="3" t="s">
        <v>36</v>
      </c>
      <c r="D4" s="3" t="s">
        <v>463</v>
      </c>
    </row>
    <row r="5" customFormat="false" ht="15" hidden="false" customHeight="false" outlineLevel="0" collapsed="false">
      <c r="A5" s="7" t="s">
        <v>328</v>
      </c>
      <c r="B5" s="13" t="n">
        <f aca="false">Supuestos!$C$30</f>
        <v>180</v>
      </c>
      <c r="C5" s="13" t="n">
        <f aca="false">Supuestos!$C$30</f>
        <v>180</v>
      </c>
      <c r="D5" s="2" t="s">
        <v>464</v>
      </c>
    </row>
    <row r="6" customFormat="false" ht="15" hidden="false" customHeight="false" outlineLevel="0" collapsed="false">
      <c r="A6" s="7" t="s">
        <v>465</v>
      </c>
      <c r="B6" s="25" t="n">
        <f aca="false">B5*(1-Supuestos!$C$68)</f>
        <v>68.4</v>
      </c>
      <c r="C6" s="25" t="n">
        <f aca="false">C5*(1-Supuestos!$C$68)</f>
        <v>68.4</v>
      </c>
      <c r="D6" s="2" t="s">
        <v>466</v>
      </c>
    </row>
    <row r="7" customFormat="false" ht="15" hidden="false" customHeight="false" outlineLevel="0" collapsed="false">
      <c r="A7" s="7" t="s">
        <v>467</v>
      </c>
      <c r="B7" s="25" t="n">
        <f aca="false">B5-B6</f>
        <v>111.6</v>
      </c>
      <c r="C7" s="25" t="n">
        <f aca="false">C5-C6</f>
        <v>111.6</v>
      </c>
      <c r="D7" s="2"/>
    </row>
    <row r="8" customFormat="false" ht="15" hidden="false" customHeight="false" outlineLevel="0" collapsed="false">
      <c r="A8" s="7" t="s">
        <v>468</v>
      </c>
      <c r="B8" s="5" t="n">
        <f aca="false">Supuestos!$C$69</f>
        <v>216000</v>
      </c>
      <c r="C8" s="5" t="n">
        <f aca="false">Supuestos!$C$70</f>
        <v>132000</v>
      </c>
      <c r="D8" s="2"/>
    </row>
    <row r="9" customFormat="false" ht="15" hidden="false" customHeight="false" outlineLevel="0" collapsed="false">
      <c r="A9" s="4" t="s">
        <v>469</v>
      </c>
      <c r="B9" s="6" t="n">
        <f aca="false">B8/B7</f>
        <v>1935.48387096774</v>
      </c>
      <c r="C9" s="6" t="n">
        <f aca="false">C8/C7</f>
        <v>1182.79569892473</v>
      </c>
      <c r="D9" s="2"/>
    </row>
    <row r="10" customFormat="false" ht="15" hidden="false" customHeight="false" outlineLevel="0" collapsed="false">
      <c r="A10" s="7" t="s">
        <v>37</v>
      </c>
      <c r="B10" s="6" t="n">
        <f aca="false">B9*B5</f>
        <v>348387.096774194</v>
      </c>
      <c r="C10" s="6" t="n">
        <f aca="false">C9*C5</f>
        <v>212903.225806452</v>
      </c>
      <c r="D10" s="2"/>
    </row>
    <row r="11" customFormat="false" ht="15" hidden="false" customHeight="false" outlineLevel="0" collapsed="false">
      <c r="A11" s="7" t="s">
        <v>470</v>
      </c>
      <c r="B11" s="5" t="n">
        <f aca="false">Supuestos!$C$62+Supuestos!$C$64</f>
        <v>130000</v>
      </c>
      <c r="C11" s="5" t="n">
        <f aca="false">Supuestos!$C$63+Supuestos!$C$65</f>
        <v>90000</v>
      </c>
      <c r="D11" s="2" t="s">
        <v>471</v>
      </c>
    </row>
    <row r="12" customFormat="false" ht="15" hidden="false" customHeight="false" outlineLevel="0" collapsed="false">
      <c r="A12" s="7" t="s">
        <v>472</v>
      </c>
      <c r="B12" s="27" t="n">
        <f aca="false">B11*Factores!$C$14-Supuestos!$C$64*Factores!$C$15</f>
        <v>37522.0788860553</v>
      </c>
      <c r="C12" s="27" t="n">
        <f aca="false">C11*Factores!$C$14-Supuestos!$C$65*Factores!$C$15</f>
        <v>26032.7505294298</v>
      </c>
      <c r="D12" s="2" t="s">
        <v>473</v>
      </c>
    </row>
    <row r="13" customFormat="false" ht="15" hidden="false" customHeight="false" outlineLevel="0" collapsed="false">
      <c r="A13" s="4" t="s">
        <v>474</v>
      </c>
      <c r="B13" s="6" t="n">
        <f aca="false">(B8+B12)/B7</f>
        <v>2271.70321582487</v>
      </c>
      <c r="C13" s="6" t="n">
        <f aca="false">(C8+C12)/C7</f>
        <v>1416.06407284435</v>
      </c>
      <c r="D13" s="2" t="s">
        <v>475</v>
      </c>
    </row>
    <row r="14" customFormat="false" ht="15" hidden="false" customHeight="false" outlineLevel="0" collapsed="false">
      <c r="A14" s="4" t="s">
        <v>476</v>
      </c>
      <c r="B14" s="6" t="n">
        <f aca="false">B13*B5</f>
        <v>408906.578848476</v>
      </c>
      <c r="C14" s="6" t="n">
        <f aca="false">C13*C5</f>
        <v>254891.533111984</v>
      </c>
      <c r="D14" s="2"/>
    </row>
    <row r="15" customFormat="false" ht="15" hidden="false" customHeight="false" outlineLevel="0" collapsed="false">
      <c r="A15" s="7" t="s">
        <v>477</v>
      </c>
      <c r="B15" s="5" t="n">
        <f aca="false">Supuestos!D83</f>
        <v>400000</v>
      </c>
      <c r="C15" s="5" t="n">
        <f aca="false">Supuestos!D84</f>
        <v>280000</v>
      </c>
      <c r="D15" s="2"/>
    </row>
    <row r="16" customFormat="false" ht="15" hidden="false" customHeight="false" outlineLevel="0" collapsed="false">
      <c r="A16" s="7" t="s">
        <v>478</v>
      </c>
      <c r="B16" s="23" t="n">
        <f aca="false">B15/B14-1</f>
        <v>-0.021781451581332</v>
      </c>
      <c r="C16" s="23" t="n">
        <f aca="false">C15/C14-1</f>
        <v>0.0985064767804014</v>
      </c>
      <c r="D16" s="2" t="s">
        <v>479</v>
      </c>
    </row>
    <row r="17" customFormat="false" ht="15" hidden="false" customHeight="false" outlineLevel="0" collapsed="false">
      <c r="A17" s="7" t="s">
        <v>480</v>
      </c>
      <c r="B17" s="26" t="n">
        <v>524000</v>
      </c>
      <c r="C17" s="26" t="n">
        <v>328000</v>
      </c>
      <c r="D17" s="2" t="s">
        <v>481</v>
      </c>
    </row>
    <row r="20" customFormat="false" ht="15" hidden="false" customHeight="false" outlineLevel="0" collapsed="false">
      <c r="A20" s="3" t="s">
        <v>482</v>
      </c>
      <c r="B20" s="3" t="s">
        <v>19</v>
      </c>
      <c r="C20" s="3"/>
      <c r="D20" s="3" t="s">
        <v>463</v>
      </c>
    </row>
    <row r="21" customFormat="false" ht="15" hidden="false" customHeight="false" outlineLevel="0" collapsed="false">
      <c r="A21" s="7" t="s">
        <v>483</v>
      </c>
      <c r="B21" s="5" t="n">
        <f aca="false">Supuestos!$C$57</f>
        <v>72000</v>
      </c>
      <c r="D21" s="2"/>
    </row>
    <row r="22" customFormat="false" ht="15" hidden="false" customHeight="false" outlineLevel="0" collapsed="false">
      <c r="A22" s="7" t="s">
        <v>484</v>
      </c>
      <c r="B22" s="5" t="n">
        <f aca="false">Supuestos!$C$52+Supuestos!$C$53+Supuestos!$C$54</f>
        <v>260000</v>
      </c>
      <c r="D22" s="2"/>
    </row>
    <row r="23" customFormat="false" ht="15" hidden="false" customHeight="false" outlineLevel="0" collapsed="false">
      <c r="A23" s="7" t="s">
        <v>485</v>
      </c>
      <c r="B23" s="5" t="n">
        <f aca="false">Supuestos!$C$52*(1-5*Supuestos!$C$55)+Supuestos!$C$54</f>
        <v>120000</v>
      </c>
      <c r="D23" s="2" t="s">
        <v>486</v>
      </c>
    </row>
    <row r="24" customFormat="false" ht="15" hidden="false" customHeight="false" outlineLevel="0" collapsed="false">
      <c r="A24" s="4" t="s">
        <v>487</v>
      </c>
      <c r="B24" s="6" t="n">
        <f aca="false">B21+B22*Factores!$C$14-B23*Factores!$C$15</f>
        <v>133957.313426502</v>
      </c>
      <c r="D24" s="2" t="s">
        <v>488</v>
      </c>
    </row>
    <row r="25" customFormat="false" ht="15" hidden="false" customHeight="false" outlineLevel="0" collapsed="false">
      <c r="A25" s="7" t="s">
        <v>489</v>
      </c>
      <c r="B25" s="13" t="n">
        <f aca="false">Costos_Margenes!$I$16</f>
        <v>79.02</v>
      </c>
      <c r="D25" s="2" t="s">
        <v>167</v>
      </c>
    </row>
    <row r="26" customFormat="false" ht="15" hidden="false" customHeight="false" outlineLevel="0" collapsed="false">
      <c r="A26" s="4" t="s">
        <v>490</v>
      </c>
      <c r="B26" s="6" t="n">
        <f aca="false">B24/B25</f>
        <v>1695.23302235513</v>
      </c>
      <c r="D26" s="2" t="s">
        <v>491</v>
      </c>
    </row>
    <row r="27" customFormat="false" ht="15" hidden="false" customHeight="false" outlineLevel="0" collapsed="false">
      <c r="A27" s="7" t="s">
        <v>492</v>
      </c>
      <c r="B27" s="5" t="n">
        <f aca="false">Flujo_Base!C8/Supuestos!$C$31</f>
        <v>541.626506024096</v>
      </c>
      <c r="D27" s="2"/>
    </row>
    <row r="28" customFormat="false" ht="15" hidden="false" customHeight="false" outlineLevel="0" collapsed="false">
      <c r="A28" s="7" t="s">
        <v>493</v>
      </c>
      <c r="B28" s="5" t="n">
        <f aca="false">Flujo_Base!E8/Supuestos!$C$31</f>
        <v>1934.90653012048</v>
      </c>
      <c r="D28" s="2"/>
    </row>
    <row r="29" customFormat="false" ht="15" hidden="false" customHeight="false" outlineLevel="0" collapsed="false">
      <c r="A29" s="7" t="s">
        <v>494</v>
      </c>
      <c r="B29" s="5" t="n">
        <f aca="false">Flujo_Base!G8/Supuestos!$C$31</f>
        <v>3874.90963567229</v>
      </c>
      <c r="D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" t="s">
        <v>495</v>
      </c>
    </row>
    <row r="2" customFormat="false" ht="15" hidden="false" customHeight="false" outlineLevel="0" collapsed="false">
      <c r="A2" s="2" t="s">
        <v>496</v>
      </c>
    </row>
    <row r="4" customFormat="false" ht="15" hidden="false" customHeight="false" outlineLevel="0" collapsed="false">
      <c r="A4" s="7" t="s">
        <v>497</v>
      </c>
      <c r="B4" s="10" t="n">
        <f aca="false">Tasas!$C$10</f>
        <v>0.16</v>
      </c>
    </row>
    <row r="5" customFormat="false" ht="15" hidden="false" customHeight="false" outlineLevel="0" collapsed="false">
      <c r="A5" s="7" t="s">
        <v>498</v>
      </c>
      <c r="B5" s="10" t="n">
        <f aca="false">Supuestos!$C$8</f>
        <v>0.02</v>
      </c>
    </row>
    <row r="6" customFormat="false" ht="15" hidden="false" customHeight="false" outlineLevel="0" collapsed="false">
      <c r="A6" s="7" t="s">
        <v>499</v>
      </c>
      <c r="B6" s="10" t="n">
        <f aca="false">Tasas!$C$12</f>
        <v>0.1832</v>
      </c>
    </row>
    <row r="8" customFormat="false" ht="26.85" hidden="false" customHeight="false" outlineLevel="0" collapsed="false">
      <c r="A8" s="3" t="s">
        <v>363</v>
      </c>
      <c r="B8" s="3" t="s">
        <v>500</v>
      </c>
      <c r="C8" s="3" t="s">
        <v>501</v>
      </c>
      <c r="D8" s="3" t="s">
        <v>502</v>
      </c>
      <c r="E8" s="3" t="s">
        <v>503</v>
      </c>
      <c r="F8" s="3" t="s">
        <v>504</v>
      </c>
    </row>
    <row r="9" customFormat="false" ht="15" hidden="false" customHeight="false" outlineLevel="0" collapsed="false">
      <c r="A9" s="34" t="n">
        <v>0</v>
      </c>
      <c r="B9" s="5" t="n">
        <f aca="false">Flujo_Base!B26</f>
        <v>-260000</v>
      </c>
      <c r="C9" s="35" t="n">
        <f aca="false">(1+$B$5)^A9</f>
        <v>1</v>
      </c>
      <c r="D9" s="27" t="n">
        <f aca="false">B9*C9</f>
        <v>-260000</v>
      </c>
      <c r="E9" s="27" t="n">
        <f aca="false">B9/(1+$B$4)^A9</f>
        <v>-260000</v>
      </c>
      <c r="F9" s="27" t="n">
        <f aca="false">D9/(1+$B$6)^A9</f>
        <v>-260000</v>
      </c>
    </row>
    <row r="10" customFormat="false" ht="15" hidden="false" customHeight="false" outlineLevel="0" collapsed="false">
      <c r="A10" s="34" t="n">
        <v>1</v>
      </c>
      <c r="B10" s="5" t="n">
        <f aca="false">Flujo_Base!C26</f>
        <v>10192.8415328142</v>
      </c>
      <c r="C10" s="35" t="n">
        <f aca="false">(1+$B$5)^A10</f>
        <v>1.02</v>
      </c>
      <c r="D10" s="27" t="n">
        <f aca="false">B10*C10</f>
        <v>10396.6983634705</v>
      </c>
      <c r="E10" s="27" t="n">
        <f aca="false">B10/(1+$B$4)^A10</f>
        <v>8786.93235587429</v>
      </c>
      <c r="F10" s="27" t="n">
        <f aca="false">D10/(1+$B$6)^A10</f>
        <v>8786.93235587429</v>
      </c>
    </row>
    <row r="11" customFormat="false" ht="15" hidden="false" customHeight="false" outlineLevel="0" collapsed="false">
      <c r="A11" s="34" t="n">
        <v>2</v>
      </c>
      <c r="B11" s="5" t="n">
        <f aca="false">Flujo_Base!D26</f>
        <v>58535.5671301019</v>
      </c>
      <c r="C11" s="35" t="n">
        <f aca="false">(1+$B$5)^A11</f>
        <v>1.0404</v>
      </c>
      <c r="D11" s="27" t="n">
        <f aca="false">B11*C11</f>
        <v>60900.404042158</v>
      </c>
      <c r="E11" s="27" t="n">
        <f aca="false">B11/(1+$B$4)^A11</f>
        <v>43501.4618981138</v>
      </c>
      <c r="F11" s="27" t="n">
        <f aca="false">D11/(1+$B$6)^A11</f>
        <v>43501.4618981138</v>
      </c>
    </row>
    <row r="12" customFormat="false" ht="15" hidden="false" customHeight="false" outlineLevel="0" collapsed="false">
      <c r="A12" s="34" t="n">
        <v>3</v>
      </c>
      <c r="B12" s="5" t="n">
        <f aca="false">Flujo_Base!E26</f>
        <v>96719.4103300233</v>
      </c>
      <c r="C12" s="35" t="n">
        <f aca="false">(1+$B$5)^A12</f>
        <v>1.061208</v>
      </c>
      <c r="D12" s="27" t="n">
        <f aca="false">B12*C12</f>
        <v>102639.411997503</v>
      </c>
      <c r="E12" s="27" t="n">
        <f aca="false">B12/(1+$B$4)^A12</f>
        <v>61964.032408324</v>
      </c>
      <c r="F12" s="27" t="n">
        <f aca="false">D12/(1+$B$6)^A12</f>
        <v>61964.032408324</v>
      </c>
    </row>
    <row r="13" customFormat="false" ht="15" hidden="false" customHeight="false" outlineLevel="0" collapsed="false">
      <c r="A13" s="34" t="n">
        <v>4</v>
      </c>
      <c r="B13" s="5" t="n">
        <f aca="false">Flujo_Base!F26</f>
        <v>150370.004496174</v>
      </c>
      <c r="C13" s="35" t="n">
        <f aca="false">(1+$B$5)^A13</f>
        <v>1.08243216</v>
      </c>
      <c r="D13" s="27" t="n">
        <f aca="false">B13*C13</f>
        <v>162765.328766004</v>
      </c>
      <c r="E13" s="27" t="n">
        <f aca="false">B13/(1+$B$4)^A13</f>
        <v>83048.0148714841</v>
      </c>
      <c r="F13" s="27" t="n">
        <f aca="false">D13/(1+$B$6)^A13</f>
        <v>83048.0148714841</v>
      </c>
    </row>
    <row r="14" customFormat="false" ht="15" hidden="false" customHeight="false" outlineLevel="0" collapsed="false">
      <c r="A14" s="34" t="n">
        <v>5</v>
      </c>
      <c r="B14" s="5" t="n">
        <f aca="false">Flujo_Base!G26</f>
        <v>378102.205564393</v>
      </c>
      <c r="C14" s="35" t="n">
        <f aca="false">(1+$B$5)^A14</f>
        <v>1.1040808032</v>
      </c>
      <c r="D14" s="27" t="n">
        <f aca="false">B14*C14</f>
        <v>417455.386811226</v>
      </c>
      <c r="E14" s="27" t="n">
        <f aca="false">B14/(1+$B$4)^A14</f>
        <v>180019.381226024</v>
      </c>
      <c r="F14" s="27" t="n">
        <f aca="false">D14/(1+$B$6)^A14</f>
        <v>180019.381226024</v>
      </c>
    </row>
    <row r="15" customFormat="false" ht="15" hidden="false" customHeight="false" outlineLevel="0" collapsed="false">
      <c r="A15" s="4" t="s">
        <v>505</v>
      </c>
      <c r="E15" s="6" t="n">
        <f aca="false">SUM(E9:E14)</f>
        <v>117319.82275982</v>
      </c>
      <c r="F15" s="6" t="n">
        <f aca="false">SUM(F9:F14)</f>
        <v>117319.82275982</v>
      </c>
    </row>
    <row r="16" customFormat="false" ht="15" hidden="false" customHeight="false" outlineLevel="0" collapsed="false">
      <c r="A16" s="7" t="s">
        <v>506</v>
      </c>
      <c r="F16" s="27" t="n">
        <f aca="false">F15-E15</f>
        <v>0</v>
      </c>
    </row>
    <row r="18" customFormat="false" ht="39.55" hidden="false" customHeight="false" outlineLevel="0" collapsed="false">
      <c r="A18" s="3" t="s">
        <v>363</v>
      </c>
      <c r="B18" s="3" t="s">
        <v>507</v>
      </c>
      <c r="C18" s="3" t="s">
        <v>508</v>
      </c>
      <c r="D18" s="3" t="s">
        <v>509</v>
      </c>
    </row>
    <row r="19" customFormat="false" ht="15" hidden="false" customHeight="false" outlineLevel="0" collapsed="false">
      <c r="A19" s="34" t="n">
        <v>1</v>
      </c>
      <c r="B19" s="5" t="n">
        <f aca="false">Prestamo!F44</f>
        <v>195793.77939037</v>
      </c>
      <c r="C19" s="27" t="n">
        <f aca="false">B19/(1+$B$5)^A19</f>
        <v>191954.685676833</v>
      </c>
      <c r="D19" s="27" t="n">
        <f aca="false">B19-C19</f>
        <v>3839.09371353666</v>
      </c>
    </row>
    <row r="20" customFormat="false" ht="15" hidden="false" customHeight="false" outlineLevel="0" collapsed="false">
      <c r="A20" s="34" t="n">
        <v>2</v>
      </c>
      <c r="B20" s="5" t="n">
        <f aca="false">Prestamo!F45</f>
        <v>195793.77939037</v>
      </c>
      <c r="C20" s="27" t="n">
        <f aca="false">B20/(1+$B$5)^A20</f>
        <v>188190.868310621</v>
      </c>
      <c r="D20" s="27" t="n">
        <f aca="false">B20-C20</f>
        <v>7602.91107974909</v>
      </c>
    </row>
    <row r="21" customFormat="false" ht="15" hidden="false" customHeight="false" outlineLevel="0" collapsed="false">
      <c r="A21" s="34" t="n">
        <v>3</v>
      </c>
      <c r="B21" s="5" t="n">
        <f aca="false">Prestamo!F46</f>
        <v>195793.77939037</v>
      </c>
      <c r="C21" s="27" t="n">
        <f aca="false">B21/(1+$B$5)^A21</f>
        <v>184500.851284922</v>
      </c>
      <c r="D21" s="27" t="n">
        <f aca="false">B21-C21</f>
        <v>11292.9281054476</v>
      </c>
    </row>
    <row r="23" customFormat="false" ht="15" hidden="false" customHeight="false" outlineLevel="0" collapsed="false">
      <c r="A23" s="2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511</v>
      </c>
    </row>
    <row r="2" customFormat="false" ht="15" hidden="false" customHeight="false" outlineLevel="0" collapsed="false">
      <c r="A2" s="2" t="s">
        <v>512</v>
      </c>
    </row>
    <row r="4" customFormat="false" ht="26.85" hidden="false" customHeight="false" outlineLevel="0" collapsed="false">
      <c r="A4" s="3" t="s">
        <v>255</v>
      </c>
      <c r="B4" s="3" t="s">
        <v>513</v>
      </c>
      <c r="C4" s="3" t="s">
        <v>514</v>
      </c>
      <c r="D4" s="3" t="s">
        <v>515</v>
      </c>
      <c r="E4" s="3" t="s">
        <v>516</v>
      </c>
      <c r="F4" s="3" t="s">
        <v>517</v>
      </c>
      <c r="G4" s="3" t="s">
        <v>518</v>
      </c>
    </row>
    <row r="5" customFormat="false" ht="15" hidden="false" customHeight="false" outlineLevel="0" collapsed="false">
      <c r="A5" s="7" t="s">
        <v>519</v>
      </c>
      <c r="B5" s="26" t="n">
        <v>83305</v>
      </c>
      <c r="C5" s="26" t="n">
        <v>-238022</v>
      </c>
      <c r="D5" s="27" t="n">
        <f aca="false">ABS(C5-B5)</f>
        <v>321327</v>
      </c>
      <c r="E5" s="26" t="n">
        <v>117320</v>
      </c>
      <c r="F5" s="26" t="n">
        <v>117320</v>
      </c>
      <c r="G5" s="27" t="n">
        <f aca="false">ABS(F5-E5)</f>
        <v>0</v>
      </c>
    </row>
    <row r="6" customFormat="false" ht="15" hidden="false" customHeight="false" outlineLevel="0" collapsed="false">
      <c r="A6" s="7" t="s">
        <v>520</v>
      </c>
      <c r="B6" s="26" t="n">
        <v>-235333</v>
      </c>
      <c r="C6" s="26" t="n">
        <v>80616</v>
      </c>
      <c r="D6" s="27" t="n">
        <f aca="false">ABS(C6-B6)</f>
        <v>315949</v>
      </c>
      <c r="E6" s="26" t="n">
        <v>117320</v>
      </c>
      <c r="F6" s="26" t="n">
        <v>117320</v>
      </c>
      <c r="G6" s="27" t="n">
        <f aca="false">ABS(F6-E6)</f>
        <v>0</v>
      </c>
    </row>
    <row r="7" customFormat="false" ht="15" hidden="false" customHeight="false" outlineLevel="0" collapsed="false">
      <c r="A7" s="7" t="s">
        <v>521</v>
      </c>
      <c r="B7" s="26" t="n">
        <v>-231241</v>
      </c>
      <c r="C7" s="26" t="n">
        <v>76524</v>
      </c>
      <c r="D7" s="27" t="n">
        <f aca="false">ABS(C7-B7)</f>
        <v>307765</v>
      </c>
      <c r="E7" s="26" t="n">
        <v>117320</v>
      </c>
      <c r="F7" s="26" t="n">
        <v>117320</v>
      </c>
      <c r="G7" s="27" t="n">
        <f aca="false">ABS(F7-E7)</f>
        <v>0</v>
      </c>
    </row>
    <row r="8" customFormat="false" ht="15" hidden="false" customHeight="false" outlineLevel="0" collapsed="false">
      <c r="A8" s="7" t="s">
        <v>522</v>
      </c>
      <c r="B8" s="26" t="n">
        <v>-155427</v>
      </c>
      <c r="C8" s="26" t="n">
        <v>7036</v>
      </c>
      <c r="D8" s="27" t="n">
        <f aca="false">ABS(C8-B8)</f>
        <v>162463</v>
      </c>
      <c r="E8" s="26" t="n">
        <v>39251</v>
      </c>
      <c r="F8" s="26" t="n">
        <v>201715</v>
      </c>
      <c r="G8" s="27" t="n">
        <f aca="false">ABS(F8-E8)</f>
        <v>162464</v>
      </c>
    </row>
    <row r="9" customFormat="false" ht="15" hidden="false" customHeight="false" outlineLevel="0" collapsed="false">
      <c r="A9" s="7" t="s">
        <v>523</v>
      </c>
      <c r="B9" s="26" t="n">
        <v>-7760</v>
      </c>
      <c r="C9" s="26" t="n">
        <v>-146957</v>
      </c>
      <c r="D9" s="27" t="n">
        <f aca="false">ABS(C9-B9)</f>
        <v>139197</v>
      </c>
      <c r="E9" s="26" t="n">
        <v>186918</v>
      </c>
      <c r="F9" s="26" t="n">
        <v>47722</v>
      </c>
      <c r="G9" s="27" t="n">
        <f aca="false">ABS(F9-E9)</f>
        <v>139196</v>
      </c>
    </row>
    <row r="10" customFormat="false" ht="15" hidden="false" customHeight="false" outlineLevel="0" collapsed="false">
      <c r="A10" s="7" t="s">
        <v>524</v>
      </c>
      <c r="B10" s="26" t="n">
        <v>-11641</v>
      </c>
      <c r="C10" s="26" t="n">
        <v>-143619</v>
      </c>
      <c r="D10" s="27" t="n">
        <f aca="false">ABS(C10-B10)</f>
        <v>131978</v>
      </c>
      <c r="E10" s="26" t="n">
        <v>150882</v>
      </c>
      <c r="F10" s="26" t="n">
        <v>83215</v>
      </c>
      <c r="G10" s="27" t="n">
        <f aca="false">ABS(F10-E10)</f>
        <v>67667</v>
      </c>
    </row>
    <row r="11" customFormat="false" ht="15" hidden="false" customHeight="false" outlineLevel="0" collapsed="false">
      <c r="A11" s="7" t="s">
        <v>525</v>
      </c>
      <c r="B11" s="26" t="n">
        <v>-19683</v>
      </c>
      <c r="C11" s="26" t="n">
        <v>-126842</v>
      </c>
      <c r="D11" s="27" t="n">
        <f aca="false">ABS(C11-B11)</f>
        <v>107159</v>
      </c>
      <c r="E11" s="26" t="n">
        <v>162354</v>
      </c>
      <c r="F11" s="26" t="n">
        <v>78456</v>
      </c>
      <c r="G11" s="27" t="n">
        <f aca="false">ABS(F11-E11)</f>
        <v>83898</v>
      </c>
    </row>
    <row r="12" customFormat="false" ht="15" hidden="false" customHeight="false" outlineLevel="0" collapsed="false">
      <c r="A12" s="7" t="s">
        <v>526</v>
      </c>
      <c r="B12" s="26" t="n">
        <v>-44118</v>
      </c>
      <c r="C12" s="26" t="n">
        <v>-110599</v>
      </c>
      <c r="D12" s="27" t="n">
        <f aca="false">ABS(C12-B12)</f>
        <v>66481</v>
      </c>
      <c r="E12" s="26" t="n">
        <v>150560</v>
      </c>
      <c r="F12" s="26" t="n">
        <v>84079</v>
      </c>
      <c r="G12" s="27" t="n">
        <f aca="false">ABS(F12-E12)</f>
        <v>66481</v>
      </c>
    </row>
    <row r="13" customFormat="false" ht="15" hidden="false" customHeight="false" outlineLevel="0" collapsed="false">
      <c r="A13" s="7" t="s">
        <v>182</v>
      </c>
      <c r="B13" s="26" t="n">
        <v>-53714</v>
      </c>
      <c r="C13" s="26" t="n">
        <v>-101003</v>
      </c>
      <c r="D13" s="27" t="n">
        <f aca="false">ABS(C13-B13)</f>
        <v>47289</v>
      </c>
      <c r="E13" s="26" t="n">
        <v>140965</v>
      </c>
      <c r="F13" s="26" t="n">
        <v>93675</v>
      </c>
      <c r="G13" s="27" t="n">
        <f aca="false">ABS(F13-E13)</f>
        <v>47290</v>
      </c>
    </row>
    <row r="14" customFormat="false" ht="15" hidden="false" customHeight="false" outlineLevel="0" collapsed="false">
      <c r="A14" s="7" t="s">
        <v>527</v>
      </c>
      <c r="B14" s="26" t="n">
        <v>-95686</v>
      </c>
      <c r="C14" s="26" t="n">
        <v>-59187</v>
      </c>
      <c r="D14" s="27" t="n">
        <f aca="false">ABS(C14-B14)</f>
        <v>36499</v>
      </c>
      <c r="E14" s="26" t="n">
        <v>98992</v>
      </c>
      <c r="F14" s="26" t="n">
        <v>135492</v>
      </c>
      <c r="G14" s="27" t="n">
        <f aca="false">ABS(F14-E14)</f>
        <v>36500</v>
      </c>
    </row>
    <row r="16" customFormat="false" ht="15" hidden="false" customHeight="false" outlineLevel="0" collapsed="false">
      <c r="A16" s="7" t="s">
        <v>528</v>
      </c>
      <c r="B16" s="5" t="n">
        <f aca="false">Flujo_Base!B84</f>
        <v>-77358.4880164316</v>
      </c>
    </row>
    <row r="17" customFormat="false" ht="15" hidden="false" customHeight="false" outlineLevel="0" collapsed="false">
      <c r="A17" s="7" t="s">
        <v>529</v>
      </c>
      <c r="B17" s="5" t="n">
        <f aca="false">Flujo_Base!B80</f>
        <v>117319.82275982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2026-10-25T21:27:18Z</dcterms:created>
  <dc:creator>openpyxl</dc:creator>
  <dc:description/>
  <dc:language>en-US</dc:language>
  <cp:lastModifiedBy/>
  <dcterms:modified xsi:type="dcterms:W3CDTF">2026-10-25T21:27:18Z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